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15361" documentId="13_ncr:1_{7CC2716A-D035-4DD3-A189-8164E5F19EE5}" xr6:coauthVersionLast="47" xr6:coauthVersionMax="47" xr10:uidLastSave="{36132979-0321-4ACD-A090-1B45B27D118C}"/>
  <bookViews>
    <workbookView xWindow="28695" yWindow="0" windowWidth="7890" windowHeight="10905" firstSheet="4" activeTab="4" xr2:uid="{00000000-000D-0000-FFFF-FFFF00000000}"/>
  </bookViews>
  <sheets>
    <sheet name="Pivot_638998843148176306" sheetId="5" r:id="rId1"/>
    <sheet name="Pivot_638998842998962721" sheetId="4" r:id="rId2"/>
    <sheet name="Pivot_638998853291763022" sheetId="7" r:id="rId3"/>
    <sheet name="Pivot_638999203820182194" sheetId="10" r:id="rId4"/>
    <sheet name="Pivot_638999241525119084" sheetId="11" r:id="rId5"/>
    <sheet name="Sheet1" sheetId="1" r:id="rId6"/>
  </sheets>
  <calcPr calcId="191029"/>
  <pivotCaches>
    <pivotCache cacheId="0" r:id="rId7"/>
    <pivotCache cacheId="1" r:id="rId8"/>
    <pivotCache cacheId="2" r:id="rId9"/>
    <pivotCache cacheId="6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<sst xmlns="http://schemas.openxmlformats.org/spreadsheetml/2006/main" count="1483" uniqueCount="390">
  <si>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</si>
  <si>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</si>
  <si>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</si>
  <si>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</si>
  <si>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</si>
  <si>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</si>
  <si>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</si>
  <si>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</si>
  <si>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</si>
  <si>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</si>
  <si>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</si>
  <si>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</si>
  <si>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</si>
  <si>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</si>
  <si>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</si>
  <si>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</si>
  <si>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</si>
  <si>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</si>
  <si>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</si>
  <si>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</si>
  <si>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</si>
  <si>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</si>
  <si>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</si>
  <si>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</si>
  <si>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</si>
  <si>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</si>
  <si>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</si>
  <si>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</si>
  <si>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</si>
  <si>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</si>
  <si>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</si>
  <si>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</si>
  <si>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</si>
  <si>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</si>
  <si>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</si>
  <si>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</si>
  <si>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</si>
  <si>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</si>
  <si>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</si>
  <si>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</si>
  <si>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</si>
  <si>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</si>
  <si>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</si>
  <si>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</si>
  <si>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</si>
  <si>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</si>
  <si>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</si>
  <si>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</si>
  <si>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</si>
  <si>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</si>
  <si>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</si>
  <si>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</si>
  <si>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</si>
  <si>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</si>
  <si>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</si>
  <si>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</si>
  <si>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</si>
  <si>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</si>
  <si>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</si>
  <si>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</si>
  <si>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</si>
  <si>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</si>
  <si>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</si>
  <si>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</si>
  <si>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</si>
  <si>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</si>
  <si>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</si>
  <si>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</si>
  <si>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</si>
  <si>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</si>
  <si>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</si>
  <si>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</si>
  <si>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</si>
  <si>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</si>
  <si>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</si>
  <si>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</si>
  <si>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</si>
  <si>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</si>
  <si>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</si>
  <si>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</si>
  <si>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</si>
  <si>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</si>
  <si>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</si>
  <si>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</si>
  <si>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</si>
  <si>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</si>
  <si>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</si>
  <si>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</si>
  <si>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</si>
  <si>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</si>
  <si>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</si>
  <si>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</si>
  <si>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</si>
  <si>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</si>
  <si>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</si>
  <si>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</si>
  <si>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</si>
  <si>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</si>
  <si>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</si>
  <si>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</si>
  <si>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</si>
  <si>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</si>
  <si>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</si>
  <si>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</si>
  <si>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</si>
  <si>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</si>
  <si>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</si>
  <si>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</si>
  <si>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</si>
  <si>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</si>
  <si>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</si>
  <si>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</si>
  <si>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</si>
  <si>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</si>
  <si>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</si>
  <si>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</si>
  <si>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</si>
  <si>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</si>
  <si>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</si>
  <si>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</si>
  <si>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</si>
  <si>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</si>
  <si>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</si>
  <si>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</si>
  <si>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</si>
  <si>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</si>
  <si>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</si>
  <si>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</si>
  <si>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</si>
  <si>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</si>
  <si>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</si>
  <si>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</si>
  <si>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</si>
  <si>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</si>
  <si>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</si>
  <si>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</si>
  <si>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</si>
  <si>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</si>
  <si>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</si>
  <si>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</si>
  <si>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</si>
  <si>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</si>
  <si>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</si>
  <si>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</si>
  <si>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</si>
  <si>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</si>
  <si>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</si>
  <si>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</si>
  <si>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</si>
  <si>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</si>
  <si>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</si>
  <si>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</si>
  <si>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</si>
  <si>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</si>
  <si>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</si>
  <si>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</si>
  <si>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</si>
  <si>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</si>
  <si>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</si>
  <si>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</si>
  <si>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</si>
  <si>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</si>
  <si>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</si>
  <si>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</si>
  <si>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</si>
  <si>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</si>
  <si>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</si>
  <si>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</si>
  <si>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</si>
  <si>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</si>
  <si>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</si>
  <si>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</si>
  <si>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</si>
  <si>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</si>
  <si>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</si>
  <si>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</si>
  <si>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</si>
  <si>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</si>
  <si>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</si>
  <si>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</si>
  <si>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</si>
  <si>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</si>
  <si>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</si>
  <si>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</si>
  <si>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</si>
  <si>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</si>
  <si>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</si>
  <si>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</si>
  <si>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</si>
  <si>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</si>
  <si>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</si>
  <si>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</si>
  <si>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</si>
  <si>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</si>
  <si>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</si>
  <si>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</si>
  <si>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</si>
  <si>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</si>
  <si>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</si>
  <si>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</si>
  <si>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</si>
  <si>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</si>
  <si>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</si>
  <si>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</si>
  <si>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</si>
  <si>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</si>
  <si>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</si>
  <si>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</si>
  <si>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</si>
  <si>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</si>
  <si>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</si>
  <si>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</si>
  <si>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</si>
  <si>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</si>
  <si>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</si>
  <si>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</si>
  <si>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</si>
  <si>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</si>
  <si>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</si>
  <si>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</si>
  <si>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</si>
  <si>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</si>
  <si>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</si>
  <si>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</si>
  <si>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</si>
  <si>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</si>
  <si>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</si>
  <si>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</si>
  <si>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</si>
  <si>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</si>
  <si>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</si>
  <si>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</si>
  <si>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</si>
  <si>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</si>
  <si>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</si>
  <si>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</si>
  <si>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</si>
  <si>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</si>
  <si>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</si>
  <si>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</si>
  <si>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</si>
  <si>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</si>
  <si>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</si>
  <si>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</si>
  <si>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</si>
  <si>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</si>
  <si>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</si>
  <si>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</si>
  <si>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</si>
  <si>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</si>
  <si>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</si>
  <si>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</si>
  <si>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</si>
  <si>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</si>
  <si>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</si>
  <si>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</si>
  <si>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</si>
  <si>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</si>
  <si>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</si>
  <si>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</si>
  <si>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</si>
  <si>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</si>
  <si>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</si>
  <si>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</si>
  <si>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</si>
  <si>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</si>
  <si>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</si>
  <si>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</si>
  <si>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</si>
  <si>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</si>
  <si>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</si>
  <si>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</si>
  <si>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</si>
  <si>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</si>
  <si>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</si>
  <si>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</si>
  <si>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</si>
  <si>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</si>
  <si>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</si>
  <si>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</si>
  <si>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</si>
  <si>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</si>
  <si>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</si>
  <si>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</si>
  <si>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</si>
  <si>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</si>
  <si>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</si>
  <si>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</si>
  <si>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</si>
  <si>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</si>
  <si>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</si>
  <si>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</si>
  <si>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</si>
  <si>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</si>
  <si>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</si>
  <si>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</si>
  <si>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</si>
  <si>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</si>
  <si>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</si>
  <si>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</si>
  <si>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</si>
  <si>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</si>
  <si>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</si>
  <si>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</si>
  <si>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</si>
  <si>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</si>
  <si>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</si>
  <si>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</si>
  <si>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</si>
  <si>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</si>
  <si>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</si>
  <si>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</si>
  <si>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</si>
  <si>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</si>
  <si>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</si>
  <si>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</si>
  <si>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</si>
  <si>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</si>
  <si>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</si>
  <si>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</si>
  <si>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</si>
  <si>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</si>
  <si>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</si>
  <si>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</si>
  <si>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</si>
  <si>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</si>
  <si>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</si>
  <si>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</si>
  <si>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</si>
  <si>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</si>
  <si>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</si>
  <si>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</si>
  <si>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</si>
  <si>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</si>
  <si>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</si>
  <si>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</si>
  <si>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</si>
  <si>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</si>
  <si>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</si>
  <si>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</si>
  <si>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</si>
  <si>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</si>
  <si>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</si>
  <si>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</si>
  <si>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</si>
  <si>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</si>
  <si>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Teste 3</t>
  </si>
  <si>
    <t>Média</t>
  </si>
  <si>
    <t>Situação</t>
  </si>
  <si>
    <t>Aprovado</t>
  </si>
  <si>
    <t>Reprovado</t>
  </si>
  <si>
    <t>Melhoria Real</t>
  </si>
  <si>
    <t>Piorou (-13 valores, -86,7%)</t>
  </si>
  <si>
    <t>Piorou (-9 valores, -81,8%)</t>
  </si>
  <si>
    <t>Piorou (-8 valores, -80%)</t>
  </si>
  <si>
    <t>Piorou (-17 valores, -89,5%)</t>
  </si>
  <si>
    <t>Piorou (-5 valores, -71,4%)</t>
  </si>
  <si>
    <t>Piorou (-16 valores, -88,9%)</t>
  </si>
  <si>
    <t>Piorou (-11 valores, -84,6%)</t>
  </si>
  <si>
    <t>Piorou (-14 valores, -87,5%)</t>
  </si>
  <si>
    <t>Piorou (-10 valores, -83,3%)</t>
  </si>
  <si>
    <t>Piorou (-6 valores, -75%)</t>
  </si>
  <si>
    <t>Piorou (-12 valores, -85,7%)</t>
  </si>
  <si>
    <t>Piorou (-7 valores, -77,8%)</t>
  </si>
  <si>
    <t>Piorou (-15 valores, -88,2%)</t>
  </si>
  <si>
    <t>MP</t>
  </si>
  <si>
    <t>Nota Necessária</t>
  </si>
  <si>
    <t>—</t>
  </si>
  <si>
    <t>ESTATÍSTICAS GERAIS DA TURMA</t>
  </si>
  <si>
    <t>Total de alunos</t>
  </si>
  <si>
    <t>Aprovados</t>
  </si>
  <si>
    <t>Reprovados</t>
  </si>
  <si>
    <t>Percentagem de aprovação</t>
  </si>
  <si>
    <t>36,5%</t>
  </si>
  <si>
    <t>Média geral</t>
  </si>
  <si>
    <t>9,22</t>
  </si>
  <si>
    <t>Melhor nota</t>
  </si>
  <si>
    <t>13,00</t>
  </si>
  <si>
    <t>Pior nota</t>
  </si>
  <si>
    <t>6,00</t>
  </si>
  <si>
    <t>Mediana</t>
  </si>
  <si>
    <t>9,33</t>
  </si>
  <si>
    <t>Desvio padrão</t>
  </si>
  <si>
    <t>1,58</t>
  </si>
  <si>
    <t>Notas ≥ 16</t>
  </si>
  <si>
    <t>Notas ≥ 18</t>
  </si>
  <si>
    <t>Rótulos de Linha</t>
  </si>
  <si>
    <t>(em branco)</t>
  </si>
  <si>
    <t>Total Geral</t>
  </si>
  <si>
    <t>Contagem de REGIME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</si>
</sst>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1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8.994211921294" createdVersion="3" refreshedVersion="8" minRefreshableVersion="3" recordCount="159" xr:uid="{63A94AEE-07C9-44CA-AF3C-4E71D605E4C6}">
  <cacheSource type="worksheet">
    <worksheetSource ref="A1:O160" sheet="Sheet1"/>
  </cacheSource>
  <cacheFields count="20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Teste 3" numFmtId="0">
      <sharedItems containsSemiMixedTypes="0" containsString="0" containsNumber="1" containsInteger="1" minValue="2" maxValue="2"/>
    </cacheField>
    <cacheField name="Média" numFmtId="0">
      <sharedItems containsSemiMixedTypes="0" containsString="0" containsNumber="1" minValue="6" maxValue="13"/>
    </cacheField>
    <cacheField name="Situação" numFmtId="0">
      <sharedItems/>
    </cacheField>
    <cacheField name="MP" numFmtId="0">
      <sharedItems containsBlank="1"/>
    </cacheField>
    <cacheField name="Nota Necessária" numFmtId="0">
      <sharedItems containsMixedTypes="1" containsNumber="1" containsInteger="1" minValue="3" maxValue="14"/>
    </cacheField>
    <cacheField name="Melhoria Re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8.994384606478" createdVersion="3" refreshedVersion="8" minRefreshableVersion="3" recordCount="159" xr:uid="{3A9F8192-C892-4380-8BF9-570D1CD0F915}">
  <cacheSource type="worksheet">
    <worksheetSource ref="A1:O160" sheet="Sheet1"/>
  </cacheSource>
  <cacheFields count="20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Teste 3" numFmtId="0">
      <sharedItems containsSemiMixedTypes="0" containsString="0" containsNumber="1" containsInteger="1" minValue="2" maxValue="2"/>
    </cacheField>
    <cacheField name="Média" numFmtId="0">
      <sharedItems containsSemiMixedTypes="0" containsString="0" containsNumber="1" minValue="6" maxValue="13"/>
    </cacheField>
    <cacheField name="Situação" numFmtId="0">
      <sharedItems/>
    </cacheField>
    <cacheField name="MP" numFmtId="0">
      <sharedItems containsBlank="1"/>
    </cacheField>
    <cacheField name="Nota Necessária" numFmtId="0">
      <sharedItems containsMixedTypes="1" containsNumber="1" containsInteger="1" minValue="3" maxValue="14"/>
    </cacheField>
    <cacheField name="Melhoria Re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411829050929" createdVersion="3" refreshedVersion="8" minRefreshableVersion="3" recordCount="159" xr:uid="{36964127-7933-4FDE-BAEB-A576495528B7}">
  <cacheSource type="worksheet">
    <worksheetSource ref="A1:O160" sheet="Sheet1"/>
  </cacheSource>
  <cacheFields count="20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Teste 3" numFmtId="0">
      <sharedItems containsSemiMixedTypes="0" containsString="0" containsNumber="1" containsInteger="1" minValue="2" maxValue="2"/>
    </cacheField>
    <cacheField name="Média" numFmtId="0">
      <sharedItems containsSemiMixedTypes="0" containsString="0" containsNumber="1" minValue="6" maxValue="13"/>
    </cacheField>
    <cacheField name="Situação" numFmtId="0">
      <sharedItems/>
    </cacheField>
    <cacheField name="MP" numFmtId="0">
      <sharedItems containsBlank="1"/>
    </cacheField>
    <cacheField name="Nota Necessária" numFmtId="0">
      <sharedItems containsMixedTypes="1" containsNumber="1" containsInteger="1" minValue="3" maxValue="14"/>
    </cacheField>
    <cacheField name="Melhoria Re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455470023146" createdVersion="3" refreshedVersion="8" minRefreshableVersion="3" recordCount="173" xr:uid="{14E08B6E-8134-44C3-88AF-E346E3265ABE}">
  <cacheSource type="worksheet">
    <worksheetSource ref="A1:T174" sheet="Sheet1"/>
  </cacheSource>
  <cacheFields count="20">
    <cacheField name="Número mecanográfico" numFmtId="0">
      <sharedItems containsString="0" containsBlank="1" containsNumber="1" containsInteger="1" minValue="93274" maxValue="111224"/>
    </cacheField>
    <cacheField name="Nome" numFmtId="0">
      <sharedItems containsBlank="1" count="172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  <m/>
        <s v="ESTATÍSTICAS GERAIS DA TURMA"/>
        <s v="Total de alunos"/>
        <s v="Aprovados"/>
        <s v="Reprovados"/>
        <s v="Percentagem de aprovação"/>
        <s v="Média geral"/>
        <s v="Melhor nota"/>
        <s v="Pior nota"/>
        <s v="Mediana"/>
        <s v="Desvio padrão"/>
        <s v="Notas ≥ 16"/>
        <s v="Notas ≥ 18"/>
      </sharedItems>
    </cacheField>
    <cacheField name="Endereço de e-mail" numFmtId="0">
      <sharedItems containsBlank="1" containsMixedTypes="1" containsNumber="1" containsInteger="1" minValue="0" maxValue="159"/>
    </cacheField>
    <cacheField name="Código de curso" numFmtId="0">
      <sharedItems containsString="0" containsBlank="1" containsNumber="1" containsInteger="1" minValue="1000" maxValue="9179"/>
    </cacheField>
    <cacheField name="TP" numFmtId="0">
      <sharedItems containsBlank="1"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tring="0" containsBlank="1" containsNumber="1" containsInteger="1" minValue="8" maxValue="18"/>
    </cacheField>
    <cacheField name="T2_P1" numFmtId="0">
      <sharedItems containsString="0" containsBlank="1" containsNumber="1" containsInteger="1" minValue="1" maxValue="13"/>
    </cacheField>
    <cacheField name="T2_P2" numFmtId="0">
      <sharedItems containsString="0" containsBlank="1" containsNumber="1" containsInteger="1" minValue="1" maxValue="9"/>
    </cacheField>
    <cacheField name="T2_P3" numFmtId="0">
      <sharedItems containsString="0" containsBlank="1" containsNumber="1" containsInteger="1" minValue="1" maxValue="10"/>
    </cacheField>
    <cacheField name="T2_P4" numFmtId="0">
      <sharedItems containsString="0" containsBlank="1" containsNumber="1" containsInteger="1" minValue="1" maxValue="11"/>
    </cacheField>
    <cacheField name="T2_P5" numFmtId="0">
      <sharedItems containsString="0" containsBlank="1" containsNumber="1" containsInteger="1" minValue="1" maxValue="10"/>
    </cacheField>
    <cacheField name="Teste 2" numFmtId="0">
      <sharedItems containsString="0" containsBlank="1" containsNumber="1" containsInteger="1" minValue="7" maxValue="19"/>
    </cacheField>
    <cacheField name="Teste 3" numFmtId="0">
      <sharedItems containsString="0" containsBlank="1" containsNumber="1" containsInteger="1" minValue="2" maxValue="2"/>
    </cacheField>
    <cacheField name="Média" numFmtId="0">
      <sharedItems containsString="0" containsBlank="1" containsNumber="1" minValue="6" maxValue="13"/>
    </cacheField>
    <cacheField name="Situação" numFmtId="0">
      <sharedItems containsBlank="1"/>
    </cacheField>
    <cacheField name="Melhoria Real" numFmtId="0">
      <sharedItems containsBlank="1"/>
    </cacheField>
    <cacheField name="MP" numFmtId="0">
      <sharedItems containsBlank="1"/>
    </cacheField>
    <cacheField name="Nota Necessária" numFmtId="0">
      <sharedItems containsBlank="1" containsMixedTypes="1" containsNumber="1" containsInteger="1" minValue="3" maxValue="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2"/>
    <n v="10"/>
    <s v="Aprovado"/>
    <m/>
    <s v="—"/>
    <s v="Piorou (-13 valores, -86,7%)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2"/>
    <n v="7"/>
    <s v="Reprovado"/>
    <s v="MP"/>
    <n v="11"/>
    <s v="Piorou (-9 valores, -81,8%)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MP"/>
    <n v="9"/>
    <s v="Piorou (-8 valores, -80%)"/>
  </r>
  <r>
    <n v="107390"/>
    <s v="MARIA JOÃO MATOS FORTE"/>
    <s v="mariaforte@ua.pt"/>
    <n v="8314"/>
    <s v="NO_TP"/>
    <m/>
    <m/>
    <n v="11"/>
    <n v="13"/>
    <n v="2"/>
    <n v="1"/>
    <n v="2"/>
    <n v="1"/>
    <n v="19"/>
    <n v="2"/>
    <n v="10.666666666666666"/>
    <s v="Aprovado"/>
    <m/>
    <s v="—"/>
    <s v="Piorou (-17 valores, -89,5%)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2"/>
    <n v="8"/>
    <s v="Reprovado"/>
    <s v="MP"/>
    <n v="8"/>
    <s v="Piorou (-5 valores, -71,4%)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2"/>
    <n v="10"/>
    <s v="Aprovado"/>
    <m/>
    <s v="—"/>
    <s v="Piorou (-9 valores, -81,8%)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MP"/>
    <n v="9"/>
    <s v="Piorou (-8 valores, -80%)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2"/>
    <n v="11"/>
    <s v="Aprovado"/>
    <m/>
    <s v="—"/>
    <s v="Piorou (-16 valores, -88,9%)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m/>
    <s v="—"/>
    <s v="Piorou (-17 valores, -89,5%)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2"/>
    <n v="9"/>
    <s v="Reprovado"/>
    <s v="MP"/>
    <n v="5"/>
    <s v="Piorou (-11 valores, -84,6%)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2"/>
    <n v="11"/>
    <s v="Aprovado"/>
    <m/>
    <s v="—"/>
    <s v="Piorou (-14 valores, -87,5%)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m/>
    <s v="—"/>
    <s v="Piorou (-16 valores, -88,9%)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2"/>
    <n v="11"/>
    <s v="Aprovado"/>
    <m/>
    <s v="—"/>
    <s v="Piorou (-13 valores, -86,7%)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MP"/>
    <n v="7"/>
    <s v="Piorou (-5 valores, -71,4%)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m/>
    <s v="—"/>
    <s v="Piorou (-13 valores, -86,7%)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MP"/>
    <n v="9"/>
    <s v="Piorou (-10 valores, -83,3%)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m/>
    <s v="—"/>
    <s v="Piorou (-14 valores, -87,5%)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2"/>
    <n v="8"/>
    <s v="Reprovado"/>
    <s v="MP"/>
    <n v="8"/>
    <s v="Piorou (-5 valores, -71,4%)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2"/>
    <n v="12"/>
    <s v="Aprovado"/>
    <m/>
    <s v="—"/>
    <s v="Piorou (-17 valores, -89,5%)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m/>
    <s v="—"/>
    <s v="Piorou (-14 valores, -87,5%)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2"/>
    <n v="8"/>
    <s v="Reprovado"/>
    <s v="MP"/>
    <n v="8"/>
    <s v="Piorou (-11 valores, -84,6%)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2"/>
    <n v="9"/>
    <s v="Reprovado"/>
    <s v="MP"/>
    <n v="5"/>
    <s v="Piorou (-10 valores, -83,3%)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MP"/>
    <n v="3"/>
    <s v="Piorou (-8 valores, -80%)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MP"/>
    <n v="6"/>
    <s v="Piorou (-6 valores, -75%)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m/>
    <s v="—"/>
    <s v="Piorou (-13 valores, -86,7%)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2"/>
    <n v="7"/>
    <s v="Reprovado"/>
    <s v="MP"/>
    <n v="11"/>
    <s v="Piorou (-5 valores, -71,4%)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2"/>
    <n v="8"/>
    <s v="Reprovado"/>
    <s v="MP"/>
    <n v="8"/>
    <s v="Piorou (-9 valores, -81,8%)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MP"/>
    <n v="4"/>
    <s v="Piorou (-16 valores, -88,9%)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m/>
    <s v="—"/>
    <s v="Piorou (-16 valores, -88,9%)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m/>
    <s v="—"/>
    <s v="Piorou (-14 valores, -87,5%)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MP"/>
    <n v="9"/>
    <s v="Piorou (-11 valores, -84,6%)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MP"/>
    <n v="8"/>
    <s v="Piorou (-10 valores, -83,3%)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2"/>
    <n v="9"/>
    <s v="Reprovado"/>
    <s v="MP"/>
    <n v="5"/>
    <s v="Piorou (-12 valores, -85,7%)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2"/>
    <n v="11"/>
    <s v="Aprovado"/>
    <m/>
    <s v="—"/>
    <s v="Piorou (-13 valores, -86,7%)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MP"/>
    <n v="6"/>
    <s v="Piorou (-13 valores, -86,7%)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MP"/>
    <n v="3"/>
    <s v="Piorou (-14 valores, -87,5%)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MP"/>
    <n v="10"/>
    <s v="Piorou (-7 valores, -77,8%)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MP"/>
    <n v="4"/>
    <s v="Piorou (-13 valores, -86,7%)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2"/>
    <n v="10"/>
    <s v="Aprovado"/>
    <m/>
    <s v="—"/>
    <s v="Piorou (-11 valores, -84,6%)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MP"/>
    <n v="4"/>
    <s v="Piorou (-16 valores, -88,9%)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2"/>
    <n v="8"/>
    <s v="Reprovado"/>
    <s v="MP"/>
    <n v="8"/>
    <s v="Piorou (-11 valores, -84,6%)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m/>
    <s v="—"/>
    <s v="Piorou (-14 valores, -87,5%)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2"/>
    <n v="9"/>
    <s v="Reprovado"/>
    <s v="MP"/>
    <n v="5"/>
    <s v="Piorou (-6 valores, -75%)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MP"/>
    <n v="9"/>
    <s v="Piorou (-11 valores, -84,6%)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2"/>
    <n v="13"/>
    <s v="Aprovado"/>
    <m/>
    <s v="—"/>
    <s v="Piorou (-17 valores, -89,5%)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MP"/>
    <n v="3"/>
    <s v="Piorou (-13 valores, -86,7%)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m/>
    <s v="—"/>
    <s v="Piorou (-13 valores, -86,7%)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MP"/>
    <n v="9"/>
    <s v="Piorou (-8 valores, -80%)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2"/>
    <n v="7"/>
    <s v="Reprovado"/>
    <s v="MP"/>
    <n v="11"/>
    <s v="Piorou (-7 valores, -77,8%)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2"/>
    <n v="9"/>
    <s v="Reprovado"/>
    <s v="MP"/>
    <n v="5"/>
    <s v="Piorou (-8 valores, -80%)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MP"/>
    <n v="3"/>
    <s v="Piorou (-15 valores, -88,2%)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MP"/>
    <n v="3"/>
    <s v="Piorou (-17 valores, -89,5%)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MP"/>
    <n v="9"/>
    <s v="Piorou (-11 valores, -84,6%)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2"/>
    <n v="8"/>
    <s v="Reprovado"/>
    <s v="MP"/>
    <n v="8"/>
    <s v="Piorou (-8 valores, -80%)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MP"/>
    <n v="4"/>
    <s v="Piorou (-11 valores, -84,6%)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MP"/>
    <n v="5"/>
    <s v="Piorou (-10 valores, -83,3%)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2"/>
    <n v="10"/>
    <s v="Aprovado"/>
    <m/>
    <s v="—"/>
    <s v="Piorou (-12 valores, -85,7%)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2"/>
    <n v="12"/>
    <s v="Aprovado"/>
    <m/>
    <s v="—"/>
    <s v="Piorou (-16 valores, -88,9%)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2"/>
    <n v="7"/>
    <s v="Reprovado"/>
    <s v="MP"/>
    <n v="11"/>
    <s v="Piorou (-5 valores, -71,4%)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MP"/>
    <n v="3"/>
    <s v="Piorou (-16 valores, -88,9%)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MP"/>
    <n v="3"/>
    <s v="Piorou (-13 valores, -86,7%)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2"/>
    <n v="10"/>
    <s v="Aprovado"/>
    <m/>
    <s v="—"/>
    <s v="Piorou (-9 valores, -81,8%)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m/>
    <s v="—"/>
    <s v="Piorou (-15 valores, -88,2%)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2"/>
    <n v="11"/>
    <s v="Aprovado"/>
    <m/>
    <s v="—"/>
    <s v="Piorou (-11 valores, -84,6%)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2"/>
    <n v="12"/>
    <s v="Aprovado"/>
    <m/>
    <s v="—"/>
    <s v="Piorou (-16 valores, -88,9%)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MP"/>
    <n v="9"/>
    <s v="Piorou (-10 valores, -83,3%)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2"/>
    <n v="10"/>
    <s v="Aprovado"/>
    <m/>
    <s v="—"/>
    <s v="Piorou (-17 valores, -89,5%)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m/>
    <s v="—"/>
    <s v="Piorou (-13 valores, -86,7%)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MP"/>
    <n v="4"/>
    <s v="Piorou (-7 valores, -77,8%)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m/>
    <s v="—"/>
    <s v="Piorou (-16 valores, -88,9%)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MP"/>
    <n v="9"/>
    <s v="Piorou (-8 valores, -80%)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m/>
    <s v="—"/>
    <s v="Piorou (-14 valores, -87,5%)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m/>
    <s v="—"/>
    <s v="Piorou (-12 valores, -85,7%)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2"/>
    <n v="8"/>
    <s v="Reprovado"/>
    <s v="MP"/>
    <n v="8"/>
    <s v="Piorou (-10 valores, -83,3%)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MP"/>
    <n v="12"/>
    <s v="Piorou (-8 valores, -80%)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2"/>
    <n v="8"/>
    <s v="Reprovado"/>
    <s v="MP"/>
    <n v="8"/>
    <s v="Piorou (-9 valores, -81,8%)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MP"/>
    <n v="5"/>
    <s v="Piorou (-10 valores, -83,3%)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MP"/>
    <n v="3"/>
    <s v="Piorou (-8 valores, -80%)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2"/>
    <n v="10"/>
    <s v="Aprovado"/>
    <m/>
    <s v="—"/>
    <s v="Piorou (-8 valores, -80%)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MP"/>
    <n v="4"/>
    <s v="Piorou (-12 valores, -85,7%)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2"/>
    <n v="10"/>
    <s v="Aprovado"/>
    <m/>
    <s v="—"/>
    <s v="Piorou (-14 valores, -87,5%)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m/>
    <s v="—"/>
    <s v="Piorou (-14 valores, -87,5%)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2"/>
    <n v="10"/>
    <s v="Aprovado"/>
    <m/>
    <s v="—"/>
    <s v="Piorou (-14 valores, -87,5%)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MP"/>
    <n v="4"/>
    <s v="Piorou (-12 valores, -85,7%)"/>
  </r>
  <r>
    <n v="108849"/>
    <s v="MIGUEL CARVALHO GOUVEIA MEXEDO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MP"/>
    <n v="9"/>
    <s v="Piorou (-8 valores, -80%)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m/>
    <s v="—"/>
    <s v="Piorou (-15 valores, -88,2%)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MP"/>
    <n v="9"/>
    <s v="Piorou (-7 valores, -77,8%)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2"/>
    <n v="12.333333333333334"/>
    <s v="Aprovado"/>
    <m/>
    <s v="—"/>
    <s v="Piorou (-17 valores, -89,5%)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2"/>
    <n v="8"/>
    <s v="Reprovado"/>
    <s v="MP"/>
    <n v="8"/>
    <s v="Piorou (-8 valores, -80%)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MP"/>
    <n v="3"/>
    <s v="Piorou (-14 valores, -87,5%)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m/>
    <s v="—"/>
    <s v="Piorou (-15 valores, -88,2%)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m/>
    <s v="—"/>
    <s v="Piorou (-16 valores, -88,9%)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MP"/>
    <n v="3"/>
    <s v="Piorou (-12 valores, -85,7%)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MP"/>
    <n v="3"/>
    <s v="Piorou (-12 valores, -85,7%)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MP"/>
    <n v="10"/>
    <s v="Piorou (-10 valores, -83,3%)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MP"/>
    <n v="13"/>
    <s v="Piorou (-6 valores, -75%)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m/>
    <s v="—"/>
    <s v="Piorou (-17 valores, -89,5%)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MP"/>
    <n v="4"/>
    <s v="Piorou (-7 valores, -77,8%)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MP"/>
    <n v="10"/>
    <s v="Piorou (-7 valores, -77,8%)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MP"/>
    <n v="7"/>
    <s v="Piorou (-13 valores, -86,7%)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MP"/>
    <n v="9"/>
    <s v="Piorou (-6 valores, -75%)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MP"/>
    <n v="10"/>
    <s v="Piorou (-10 valores, -83,3%)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MP"/>
    <n v="6"/>
    <s v="Piorou (-13 valores, -86,7%)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MP"/>
    <n v="9"/>
    <s v="Piorou (-9 valores, -81,8%)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2"/>
    <n v="7"/>
    <s v="Reprovado"/>
    <s v="MP"/>
    <n v="11"/>
    <s v="Piorou (-5 valores, -71,4%)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2"/>
    <n v="10"/>
    <s v="Aprovado"/>
    <m/>
    <s v="—"/>
    <s v="Piorou (-16 valores, -88,9%)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MP"/>
    <n v="13"/>
    <s v="Piorou (-7 valores, -77,8%)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MP"/>
    <n v="7"/>
    <s v="Piorou (-10 valores, -83,3%)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2"/>
    <n v="8"/>
    <s v="Reprovado"/>
    <s v="MP"/>
    <n v="8"/>
    <s v="Piorou (-10 valores, -83,3%)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2"/>
    <n v="9"/>
    <s v="Reprovado"/>
    <s v="MP"/>
    <n v="5"/>
    <s v="Piorou (-5 valores, -71,4%)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MP"/>
    <n v="7"/>
    <s v="Piorou (-13 valores, -86,7%)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MP"/>
    <n v="7"/>
    <s v="Piorou (-6 valores, -75%)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MP"/>
    <n v="9"/>
    <s v="Piorou (-6 valores, -75%)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MP"/>
    <n v="6"/>
    <s v="Piorou (-5 valores, -71,4%)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MP"/>
    <n v="12"/>
    <s v="Piorou (-8 valores, -80%)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m/>
    <s v="—"/>
    <s v="Piorou (-13 valores, -86,7%)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2"/>
    <n v="10"/>
    <s v="Aprovado"/>
    <m/>
    <s v="—"/>
    <s v="Piorou (-16 valores, -88,9%)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m/>
    <s v="—"/>
    <s v="Piorou (-13 valores, -86,7%)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MP"/>
    <n v="4"/>
    <s v="Piorou (-9 valores, -81,8%)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MP"/>
    <n v="9"/>
    <s v="Piorou (-9 valores, -81,8%)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MP"/>
    <n v="6"/>
    <s v="Piorou (-5 valores, -71,4%)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MP"/>
    <n v="4"/>
    <s v="Piorou (-14 valores, -87,5%)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MP"/>
    <n v="9"/>
    <s v="Piorou (-8 valores, -80%)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2"/>
    <n v="9"/>
    <s v="Reprovado"/>
    <s v="MP"/>
    <n v="5"/>
    <s v="Piorou (-12 valores, -85,7%)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m/>
    <s v="—"/>
    <s v="Piorou (-17 valores, -89,5%)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MP"/>
    <n v="9"/>
    <s v="Piorou (-8 valores, -80%)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MP"/>
    <n v="9"/>
    <s v="Piorou (-7 valores, -77,8%)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MP"/>
    <n v="13"/>
    <s v="Piorou (-6 valores, -75%)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MP"/>
    <n v="12"/>
    <s v="Piorou (-6 valores, -75%)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MP"/>
    <n v="4"/>
    <s v="Piorou (-7 valores, -77,8%)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MP"/>
    <n v="4"/>
    <s v="Piorou (-6 valores, -75%)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MP"/>
    <n v="10"/>
    <s v="Piorou (-9 valores, -81,8%)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MP"/>
    <n v="9"/>
    <s v="Piorou (-7 valores, -77,8%)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m/>
    <s v="—"/>
    <s v="Piorou (-10 valores, -83,3%)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MP"/>
    <n v="4"/>
    <s v="Piorou (-10 valores, -83,3%)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m/>
    <s v="—"/>
    <s v="Piorou (-17 valores, -89,5%)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m/>
    <s v="—"/>
    <s v="Piorou (-17 valores, -89,5%)"/>
  </r>
  <r>
    <n v="108654"/>
    <s v="MARIA INÊS MARQUES LOPES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MP"/>
    <n v="7"/>
    <s v="Piorou (-10 valores, -83,3%)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MP"/>
    <n v="13"/>
    <s v="Piorou (-7 valores, -77,8%)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MP"/>
    <n v="4"/>
    <s v="Piorou (-16 valores, -88,9%)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MP"/>
    <n v="4"/>
    <s v="Piorou (-10 valores, -83,3%)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2"/>
    <n v="8"/>
    <s v="Reprovado"/>
    <s v="MP"/>
    <n v="8"/>
    <s v="Piorou (-12 valores, -85,7%)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2"/>
    <n v="10"/>
    <s v="Aprovado"/>
    <m/>
    <s v="—"/>
    <s v="Piorou (-12 valores, -85,7%)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2"/>
    <n v="10.333333333333334"/>
    <s v="Aprovado"/>
    <m/>
    <s v="—"/>
    <s v="Piorou (-16 valores, -88,9%)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2"/>
    <n v="11"/>
    <s v="Aprovado"/>
    <m/>
    <s v="—"/>
    <s v="Piorou (-11 valores, -84,6%)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2"/>
    <n v="7"/>
    <s v="Reprovado"/>
    <s v="MP"/>
    <n v="11"/>
    <s v="Piorou (-6 valores, -75%)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m/>
    <s v="—"/>
    <s v="Piorou (-11 valores, -84,6%)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2"/>
    <n v="10.666666666666666"/>
    <s v="Aprovado"/>
    <m/>
    <s v="—"/>
    <s v="Piorou (-12 valores, -85,7%)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2"/>
    <n v="9"/>
    <s v="Reprovado"/>
    <s v="MP"/>
    <n v="5"/>
    <s v="Piorou (-7 valores, -77,8%)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m/>
    <s v="—"/>
    <s v="Piorou (-17 valores, -89,5%)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m/>
    <s v="—"/>
    <s v="Piorou (-16 valores, -88,9%)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MP"/>
    <n v="10"/>
    <s v="Piorou (-8 valores, -80%)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2"/>
    <n v="6"/>
    <s v="Reprovado"/>
    <s v="MP"/>
    <n v="14"/>
    <s v="Piorou (-6 valores, -75%)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m/>
    <s v="—"/>
    <s v="Piorou (-14 valores, -87,5%)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2"/>
    <n v="10"/>
    <s v="Aprovado"/>
    <m/>
    <s v="—"/>
    <s v="Piorou (-10 valores, -83,3%)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MP"/>
    <n v="3"/>
    <s v="Piorou (-14 valores, -87,5%)"/>
  </r>
  <r>
    <n v="102437"/>
    <s v="JÚLIA MONIZ GANCHAS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m/>
    <s v="—"/>
    <s v="Piorou (-14 valores, -87,5%)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MP"/>
    <n v="3"/>
    <s v="Piorou (-7 valores, -77,8%)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MP"/>
    <n v="13"/>
    <s v="Piorou (-5 valores, -71,4%)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2"/>
    <n v="10"/>
    <s v="Aprovado"/>
    <m/>
    <s v="—"/>
    <s v="Piorou (-13 valores, -86,7%)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2"/>
    <n v="7"/>
    <s v="Reprovado"/>
    <s v="MP"/>
    <n v="11"/>
    <s v="Piorou (-9 valores, -81,8%)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MP"/>
    <n v="9"/>
    <s v="Piorou (-8 valores, -80%)"/>
  </r>
  <r>
    <n v="107390"/>
    <s v="MARIA JOÃO MATOS FORTE"/>
    <s v="mariaforte@ua.pt"/>
    <n v="8314"/>
    <s v="NO_TP"/>
    <m/>
    <m/>
    <n v="11"/>
    <n v="13"/>
    <n v="2"/>
    <n v="1"/>
    <n v="2"/>
    <n v="1"/>
    <n v="19"/>
    <n v="2"/>
    <n v="10.666666666666666"/>
    <s v="Aprovado"/>
    <m/>
    <s v="—"/>
    <s v="Piorou (-17 valores, -89,5%)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2"/>
    <n v="8"/>
    <s v="Reprovado"/>
    <s v="MP"/>
    <n v="8"/>
    <s v="Piorou (-5 valores, -71,4%)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2"/>
    <n v="10"/>
    <s v="Aprovado"/>
    <m/>
    <s v="—"/>
    <s v="Piorou (-9 valores, -81,8%)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MP"/>
    <n v="9"/>
    <s v="Piorou (-8 valores, -80%)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2"/>
    <n v="11"/>
    <s v="Aprovado"/>
    <m/>
    <s v="—"/>
    <s v="Piorou (-16 valores, -88,9%)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m/>
    <s v="—"/>
    <s v="Piorou (-17 valores, -89,5%)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2"/>
    <n v="9"/>
    <s v="Reprovado"/>
    <s v="MP"/>
    <n v="5"/>
    <s v="Piorou (-11 valores, -84,6%)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2"/>
    <n v="11"/>
    <s v="Aprovado"/>
    <m/>
    <s v="—"/>
    <s v="Piorou (-14 valores, -87,5%)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m/>
    <s v="—"/>
    <s v="Piorou (-16 valores, -88,9%)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2"/>
    <n v="11"/>
    <s v="Aprovado"/>
    <m/>
    <s v="—"/>
    <s v="Piorou (-13 valores, -86,7%)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MP"/>
    <n v="7"/>
    <s v="Piorou (-5 valores, -71,4%)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m/>
    <s v="—"/>
    <s v="Piorou (-13 valores, -86,7%)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MP"/>
    <n v="9"/>
    <s v="Piorou (-10 valores, -83,3%)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m/>
    <s v="—"/>
    <s v="Piorou (-14 valores, -87,5%)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2"/>
    <n v="8"/>
    <s v="Reprovado"/>
    <s v="MP"/>
    <n v="8"/>
    <s v="Piorou (-5 valores, -71,4%)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2"/>
    <n v="12"/>
    <s v="Aprovado"/>
    <m/>
    <s v="—"/>
    <s v="Piorou (-17 valores, -89,5%)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m/>
    <s v="—"/>
    <s v="Piorou (-14 valores, -87,5%)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2"/>
    <n v="8"/>
    <s v="Reprovado"/>
    <s v="MP"/>
    <n v="8"/>
    <s v="Piorou (-11 valores, -84,6%)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2"/>
    <n v="9"/>
    <s v="Reprovado"/>
    <s v="MP"/>
    <n v="5"/>
    <s v="Piorou (-10 valores, -83,3%)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MP"/>
    <n v="3"/>
    <s v="Piorou (-8 valores, -80%)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MP"/>
    <n v="6"/>
    <s v="Piorou (-6 valores, -75%)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m/>
    <s v="—"/>
    <s v="Piorou (-13 valores, -86,7%)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2"/>
    <n v="7"/>
    <s v="Reprovado"/>
    <s v="MP"/>
    <n v="11"/>
    <s v="Piorou (-5 valores, -71,4%)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2"/>
    <n v="8"/>
    <s v="Reprovado"/>
    <s v="MP"/>
    <n v="8"/>
    <s v="Piorou (-9 valores, -81,8%)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MP"/>
    <n v="4"/>
    <s v="Piorou (-16 valores, -88,9%)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m/>
    <s v="—"/>
    <s v="Piorou (-16 valores, -88,9%)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m/>
    <s v="—"/>
    <s v="Piorou (-14 valores, -87,5%)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MP"/>
    <n v="9"/>
    <s v="Piorou (-11 valores, -84,6%)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MP"/>
    <n v="8"/>
    <s v="Piorou (-10 valores, -83,3%)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2"/>
    <n v="9"/>
    <s v="Reprovado"/>
    <s v="MP"/>
    <n v="5"/>
    <s v="Piorou (-12 valores, -85,7%)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2"/>
    <n v="11"/>
    <s v="Aprovado"/>
    <m/>
    <s v="—"/>
    <s v="Piorou (-13 valores, -86,7%)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MP"/>
    <n v="6"/>
    <s v="Piorou (-13 valores, -86,7%)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MP"/>
    <n v="3"/>
    <s v="Piorou (-14 valores, -87,5%)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MP"/>
    <n v="10"/>
    <s v="Piorou (-7 valores, -77,8%)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MP"/>
    <n v="4"/>
    <s v="Piorou (-13 valores, -86,7%)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2"/>
    <n v="10"/>
    <s v="Aprovado"/>
    <m/>
    <s v="—"/>
    <s v="Piorou (-11 valores, -84,6%)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MP"/>
    <n v="4"/>
    <s v="Piorou (-16 valores, -88,9%)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2"/>
    <n v="8"/>
    <s v="Reprovado"/>
    <s v="MP"/>
    <n v="8"/>
    <s v="Piorou (-11 valores, -84,6%)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m/>
    <s v="—"/>
    <s v="Piorou (-14 valores, -87,5%)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2"/>
    <n v="9"/>
    <s v="Reprovado"/>
    <s v="MP"/>
    <n v="5"/>
    <s v="Piorou (-6 valores, -75%)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MP"/>
    <n v="9"/>
    <s v="Piorou (-11 valores, -84,6%)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2"/>
    <n v="13"/>
    <s v="Aprovado"/>
    <m/>
    <s v="—"/>
    <s v="Piorou (-17 valores, -89,5%)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MP"/>
    <n v="3"/>
    <s v="Piorou (-13 valores, -86,7%)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m/>
    <s v="—"/>
    <s v="Piorou (-13 valores, -86,7%)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MP"/>
    <n v="9"/>
    <s v="Piorou (-8 valores, -80%)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2"/>
    <n v="7"/>
    <s v="Reprovado"/>
    <s v="MP"/>
    <n v="11"/>
    <s v="Piorou (-7 valores, -77,8%)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2"/>
    <n v="9"/>
    <s v="Reprovado"/>
    <s v="MP"/>
    <n v="5"/>
    <s v="Piorou (-8 valores, -80%)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MP"/>
    <n v="3"/>
    <s v="Piorou (-15 valores, -88,2%)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MP"/>
    <n v="3"/>
    <s v="Piorou (-17 valores, -89,5%)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MP"/>
    <n v="9"/>
    <s v="Piorou (-11 valores, -84,6%)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2"/>
    <n v="8"/>
    <s v="Reprovado"/>
    <s v="MP"/>
    <n v="8"/>
    <s v="Piorou (-8 valores, -80%)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MP"/>
    <n v="4"/>
    <s v="Piorou (-11 valores, -84,6%)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MP"/>
    <n v="5"/>
    <s v="Piorou (-10 valores, -83,3%)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2"/>
    <n v="10"/>
    <s v="Aprovado"/>
    <m/>
    <s v="—"/>
    <s v="Piorou (-12 valores, -85,7%)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2"/>
    <n v="12"/>
    <s v="Aprovado"/>
    <m/>
    <s v="—"/>
    <s v="Piorou (-16 valores, -88,9%)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2"/>
    <n v="7"/>
    <s v="Reprovado"/>
    <s v="MP"/>
    <n v="11"/>
    <s v="Piorou (-5 valores, -71,4%)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MP"/>
    <n v="3"/>
    <s v="Piorou (-16 valores, -88,9%)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MP"/>
    <n v="3"/>
    <s v="Piorou (-13 valores, -86,7%)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2"/>
    <n v="10"/>
    <s v="Aprovado"/>
    <m/>
    <s v="—"/>
    <s v="Piorou (-9 valores, -81,8%)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m/>
    <s v="—"/>
    <s v="Piorou (-15 valores, -88,2%)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2"/>
    <n v="11"/>
    <s v="Aprovado"/>
    <m/>
    <s v="—"/>
    <s v="Piorou (-11 valores, -84,6%)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2"/>
    <n v="12"/>
    <s v="Aprovado"/>
    <m/>
    <s v="—"/>
    <s v="Piorou (-16 valores, -88,9%)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MP"/>
    <n v="9"/>
    <s v="Piorou (-10 valores, -83,3%)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2"/>
    <n v="10"/>
    <s v="Aprovado"/>
    <m/>
    <s v="—"/>
    <s v="Piorou (-17 valores, -89,5%)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m/>
    <s v="—"/>
    <s v="Piorou (-13 valores, -86,7%)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MP"/>
    <n v="4"/>
    <s v="Piorou (-7 valores, -77,8%)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m/>
    <s v="—"/>
    <s v="Piorou (-16 valores, -88,9%)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MP"/>
    <n v="9"/>
    <s v="Piorou (-8 valores, -80%)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m/>
    <s v="—"/>
    <s v="Piorou (-14 valores, -87,5%)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m/>
    <s v="—"/>
    <s v="Piorou (-12 valores, -85,7%)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2"/>
    <n v="8"/>
    <s v="Reprovado"/>
    <s v="MP"/>
    <n v="8"/>
    <s v="Piorou (-10 valores, -83,3%)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MP"/>
    <n v="12"/>
    <s v="Piorou (-8 valores, -80%)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2"/>
    <n v="8"/>
    <s v="Reprovado"/>
    <s v="MP"/>
    <n v="8"/>
    <s v="Piorou (-9 valores, -81,8%)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MP"/>
    <n v="5"/>
    <s v="Piorou (-10 valores, -83,3%)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MP"/>
    <n v="3"/>
    <s v="Piorou (-8 valores, -80%)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2"/>
    <n v="10"/>
    <s v="Aprovado"/>
    <m/>
    <s v="—"/>
    <s v="Piorou (-8 valores, -80%)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MP"/>
    <n v="4"/>
    <s v="Piorou (-12 valores, -85,7%)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2"/>
    <n v="10"/>
    <s v="Aprovado"/>
    <m/>
    <s v="—"/>
    <s v="Piorou (-14 valores, -87,5%)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m/>
    <s v="—"/>
    <s v="Piorou (-14 valores, -87,5%)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2"/>
    <n v="10"/>
    <s v="Aprovado"/>
    <m/>
    <s v="—"/>
    <s v="Piorou (-14 valores, -87,5%)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MP"/>
    <n v="4"/>
    <s v="Piorou (-12 valores, -85,7%)"/>
  </r>
  <r>
    <n v="108849"/>
    <s v="MIGUEL CARVALHO GOUVEIA MEXEDO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MP"/>
    <n v="9"/>
    <s v="Piorou (-8 valores, -80%)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m/>
    <s v="—"/>
    <s v="Piorou (-15 valores, -88,2%)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MP"/>
    <n v="9"/>
    <s v="Piorou (-7 valores, -77,8%)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2"/>
    <n v="12.333333333333334"/>
    <s v="Aprovado"/>
    <m/>
    <s v="—"/>
    <s v="Piorou (-17 valores, -89,5%)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2"/>
    <n v="8"/>
    <s v="Reprovado"/>
    <s v="MP"/>
    <n v="8"/>
    <s v="Piorou (-8 valores, -80%)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MP"/>
    <n v="3"/>
    <s v="Piorou (-14 valores, -87,5%)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m/>
    <s v="—"/>
    <s v="Piorou (-15 valores, -88,2%)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m/>
    <s v="—"/>
    <s v="Piorou (-16 valores, -88,9%)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MP"/>
    <n v="3"/>
    <s v="Piorou (-12 valores, -85,7%)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MP"/>
    <n v="3"/>
    <s v="Piorou (-12 valores, -85,7%)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MP"/>
    <n v="10"/>
    <s v="Piorou (-10 valores, -83,3%)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MP"/>
    <n v="13"/>
    <s v="Piorou (-6 valores, -75%)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m/>
    <s v="—"/>
    <s v="Piorou (-17 valores, -89,5%)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MP"/>
    <n v="4"/>
    <s v="Piorou (-7 valores, -77,8%)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MP"/>
    <n v="10"/>
    <s v="Piorou (-7 valores, -77,8%)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MP"/>
    <n v="7"/>
    <s v="Piorou (-13 valores, -86,7%)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MP"/>
    <n v="9"/>
    <s v="Piorou (-6 valores, -75%)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MP"/>
    <n v="10"/>
    <s v="Piorou (-10 valores, -83,3%)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MP"/>
    <n v="6"/>
    <s v="Piorou (-13 valores, -86,7%)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MP"/>
    <n v="9"/>
    <s v="Piorou (-9 valores, -81,8%)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2"/>
    <n v="7"/>
    <s v="Reprovado"/>
    <s v="MP"/>
    <n v="11"/>
    <s v="Piorou (-5 valores, -71,4%)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2"/>
    <n v="10"/>
    <s v="Aprovado"/>
    <m/>
    <s v="—"/>
    <s v="Piorou (-16 valores, -88,9%)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MP"/>
    <n v="13"/>
    <s v="Piorou (-7 valores, -77,8%)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MP"/>
    <n v="7"/>
    <s v="Piorou (-10 valores, -83,3%)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2"/>
    <n v="8"/>
    <s v="Reprovado"/>
    <s v="MP"/>
    <n v="8"/>
    <s v="Piorou (-10 valores, -83,3%)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2"/>
    <n v="9"/>
    <s v="Reprovado"/>
    <s v="MP"/>
    <n v="5"/>
    <s v="Piorou (-5 valores, -71,4%)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MP"/>
    <n v="7"/>
    <s v="Piorou (-13 valores, -86,7%)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MP"/>
    <n v="7"/>
    <s v="Piorou (-6 valores, -75%)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MP"/>
    <n v="9"/>
    <s v="Piorou (-6 valores, -75%)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MP"/>
    <n v="6"/>
    <s v="Piorou (-5 valores, -71,4%)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MP"/>
    <n v="12"/>
    <s v="Piorou (-8 valores, -80%)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m/>
    <s v="—"/>
    <s v="Piorou (-13 valores, -86,7%)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2"/>
    <n v="10"/>
    <s v="Aprovado"/>
    <m/>
    <s v="—"/>
    <s v="Piorou (-16 valores, -88,9%)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m/>
    <s v="—"/>
    <s v="Piorou (-13 valores, -86,7%)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MP"/>
    <n v="4"/>
    <s v="Piorou (-9 valores, -81,8%)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MP"/>
    <n v="9"/>
    <s v="Piorou (-9 valores, -81,8%)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MP"/>
    <n v="6"/>
    <s v="Piorou (-5 valores, -71,4%)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MP"/>
    <n v="4"/>
    <s v="Piorou (-14 valores, -87,5%)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MP"/>
    <n v="9"/>
    <s v="Piorou (-8 valores, -80%)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2"/>
    <n v="9"/>
    <s v="Reprovado"/>
    <s v="MP"/>
    <n v="5"/>
    <s v="Piorou (-12 valores, -85,7%)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m/>
    <s v="—"/>
    <s v="Piorou (-17 valores, -89,5%)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MP"/>
    <n v="9"/>
    <s v="Piorou (-8 valores, -80%)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MP"/>
    <n v="9"/>
    <s v="Piorou (-7 valores, -77,8%)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MP"/>
    <n v="13"/>
    <s v="Piorou (-6 valores, -75%)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MP"/>
    <n v="12"/>
    <s v="Piorou (-6 valores, -75%)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MP"/>
    <n v="4"/>
    <s v="Piorou (-7 valores, -77,8%)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MP"/>
    <n v="4"/>
    <s v="Piorou (-6 valores, -75%)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MP"/>
    <n v="10"/>
    <s v="Piorou (-9 valores, -81,8%)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MP"/>
    <n v="9"/>
    <s v="Piorou (-7 valores, -77,8%)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m/>
    <s v="—"/>
    <s v="Piorou (-10 valores, -83,3%)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MP"/>
    <n v="4"/>
    <s v="Piorou (-10 valores, -83,3%)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m/>
    <s v="—"/>
    <s v="Piorou (-17 valores, -89,5%)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m/>
    <s v="—"/>
    <s v="Piorou (-17 valores, -89,5%)"/>
  </r>
  <r>
    <n v="108654"/>
    <s v="MARIA INÊS MARQUES LOPES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MP"/>
    <n v="7"/>
    <s v="Piorou (-10 valores, -83,3%)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MP"/>
    <n v="13"/>
    <s v="Piorou (-7 valores, -77,8%)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MP"/>
    <n v="4"/>
    <s v="Piorou (-16 valores, -88,9%)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MP"/>
    <n v="4"/>
    <s v="Piorou (-10 valores, -83,3%)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2"/>
    <n v="8"/>
    <s v="Reprovado"/>
    <s v="MP"/>
    <n v="8"/>
    <s v="Piorou (-12 valores, -85,7%)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2"/>
    <n v="10"/>
    <s v="Aprovado"/>
    <m/>
    <s v="—"/>
    <s v="Piorou (-12 valores, -85,7%)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2"/>
    <n v="10.333333333333334"/>
    <s v="Aprovado"/>
    <m/>
    <s v="—"/>
    <s v="Piorou (-16 valores, -88,9%)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2"/>
    <n v="11"/>
    <s v="Aprovado"/>
    <m/>
    <s v="—"/>
    <s v="Piorou (-11 valores, -84,6%)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2"/>
    <n v="7"/>
    <s v="Reprovado"/>
    <s v="MP"/>
    <n v="11"/>
    <s v="Piorou (-6 valores, -75%)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m/>
    <s v="—"/>
    <s v="Piorou (-11 valores, -84,6%)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2"/>
    <n v="10.666666666666666"/>
    <s v="Aprovado"/>
    <m/>
    <s v="—"/>
    <s v="Piorou (-12 valores, -85,7%)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2"/>
    <n v="9"/>
    <s v="Reprovado"/>
    <s v="MP"/>
    <n v="5"/>
    <s v="Piorou (-7 valores, -77,8%)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m/>
    <s v="—"/>
    <s v="Piorou (-17 valores, -89,5%)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m/>
    <s v="—"/>
    <s v="Piorou (-16 valores, -88,9%)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MP"/>
    <n v="10"/>
    <s v="Piorou (-8 valores, -80%)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2"/>
    <n v="6"/>
    <s v="Reprovado"/>
    <s v="MP"/>
    <n v="14"/>
    <s v="Piorou (-6 valores, -75%)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m/>
    <s v="—"/>
    <s v="Piorou (-14 valores, -87,5%)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2"/>
    <n v="10"/>
    <s v="Aprovado"/>
    <m/>
    <s v="—"/>
    <s v="Piorou (-10 valores, -83,3%)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MP"/>
    <n v="3"/>
    <s v="Piorou (-14 valores, -87,5%)"/>
  </r>
  <r>
    <n v="102437"/>
    <s v="JÚLIA MONIZ GANCHAS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m/>
    <s v="—"/>
    <s v="Piorou (-14 valores, -87,5%)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MP"/>
    <n v="3"/>
    <s v="Piorou (-7 valores, -77,8%)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MP"/>
    <n v="13"/>
    <s v="Piorou (-5 valores, -71,4%)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2"/>
    <n v="10"/>
    <s v="Aprovado"/>
    <m/>
    <s v="—"/>
    <s v="Piorou (-13 valores, -86,7%)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2"/>
    <n v="7"/>
    <s v="Reprovado"/>
    <s v="MP"/>
    <n v="11"/>
    <s v="Piorou (-9 valores, -81,8%)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MP"/>
    <n v="9"/>
    <s v="Piorou (-8 valores, -80%)"/>
  </r>
  <r>
    <n v="107390"/>
    <s v="MARIA JOÃO MATOS FORTE"/>
    <s v="mariaforte@ua.pt"/>
    <n v="8314"/>
    <s v="NO_TP"/>
    <m/>
    <m/>
    <n v="11"/>
    <n v="13"/>
    <n v="2"/>
    <n v="1"/>
    <n v="2"/>
    <n v="1"/>
    <n v="19"/>
    <n v="2"/>
    <n v="10.666666666666666"/>
    <s v="Aprovado"/>
    <m/>
    <s v="—"/>
    <s v="Piorou (-17 valores, -89,5%)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2"/>
    <n v="8"/>
    <s v="Reprovado"/>
    <s v="MP"/>
    <n v="8"/>
    <s v="Piorou (-5 valores, -71,4%)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2"/>
    <n v="10"/>
    <s v="Aprovado"/>
    <m/>
    <s v="—"/>
    <s v="Piorou (-9 valores, -81,8%)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MP"/>
    <n v="9"/>
    <s v="Piorou (-8 valores, -80%)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2"/>
    <n v="11"/>
    <s v="Aprovado"/>
    <m/>
    <s v="—"/>
    <s v="Piorou (-16 valores, -88,9%)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m/>
    <s v="—"/>
    <s v="Piorou (-17 valores, -89,5%)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2"/>
    <n v="9"/>
    <s v="Reprovado"/>
    <s v="MP"/>
    <n v="5"/>
    <s v="Piorou (-11 valores, -84,6%)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2"/>
    <n v="11"/>
    <s v="Aprovado"/>
    <m/>
    <s v="—"/>
    <s v="Piorou (-14 valores, -87,5%)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m/>
    <s v="—"/>
    <s v="Piorou (-16 valores, -88,9%)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2"/>
    <n v="11"/>
    <s v="Aprovado"/>
    <m/>
    <s v="—"/>
    <s v="Piorou (-13 valores, -86,7%)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MP"/>
    <n v="7"/>
    <s v="Piorou (-5 valores, -71,4%)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m/>
    <s v="—"/>
    <s v="Piorou (-13 valores, -86,7%)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MP"/>
    <n v="9"/>
    <s v="Piorou (-10 valores, -83,3%)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m/>
    <s v="—"/>
    <s v="Piorou (-14 valores, -87,5%)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2"/>
    <n v="8"/>
    <s v="Reprovado"/>
    <s v="MP"/>
    <n v="8"/>
    <s v="Piorou (-5 valores, -71,4%)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2"/>
    <n v="12"/>
    <s v="Aprovado"/>
    <m/>
    <s v="—"/>
    <s v="Piorou (-17 valores, -89,5%)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m/>
    <s v="—"/>
    <s v="Piorou (-14 valores, -87,5%)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2"/>
    <n v="8"/>
    <s v="Reprovado"/>
    <s v="MP"/>
    <n v="8"/>
    <s v="Piorou (-11 valores, -84,6%)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2"/>
    <n v="9"/>
    <s v="Reprovado"/>
    <s v="MP"/>
    <n v="5"/>
    <s v="Piorou (-10 valores, -83,3%)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MP"/>
    <n v="3"/>
    <s v="Piorou (-8 valores, -80%)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MP"/>
    <n v="6"/>
    <s v="Piorou (-6 valores, -75%)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m/>
    <s v="—"/>
    <s v="Piorou (-13 valores, -86,7%)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2"/>
    <n v="7"/>
    <s v="Reprovado"/>
    <s v="MP"/>
    <n v="11"/>
    <s v="Piorou (-5 valores, -71,4%)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2"/>
    <n v="8"/>
    <s v="Reprovado"/>
    <s v="MP"/>
    <n v="8"/>
    <s v="Piorou (-9 valores, -81,8%)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MP"/>
    <n v="4"/>
    <s v="Piorou (-16 valores, -88,9%)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m/>
    <s v="—"/>
    <s v="Piorou (-16 valores, -88,9%)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m/>
    <s v="—"/>
    <s v="Piorou (-14 valores, -87,5%)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MP"/>
    <n v="9"/>
    <s v="Piorou (-11 valores, -84,6%)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MP"/>
    <n v="8"/>
    <s v="Piorou (-10 valores, -83,3%)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2"/>
    <n v="9"/>
    <s v="Reprovado"/>
    <s v="MP"/>
    <n v="5"/>
    <s v="Piorou (-12 valores, -85,7%)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2"/>
    <n v="11"/>
    <s v="Aprovado"/>
    <m/>
    <s v="—"/>
    <s v="Piorou (-13 valores, -86,7%)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MP"/>
    <n v="6"/>
    <s v="Piorou (-13 valores, -86,7%)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MP"/>
    <n v="3"/>
    <s v="Piorou (-14 valores, -87,5%)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MP"/>
    <n v="10"/>
    <s v="Piorou (-7 valores, -77,8%)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MP"/>
    <n v="4"/>
    <s v="Piorou (-13 valores, -86,7%)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2"/>
    <n v="10"/>
    <s v="Aprovado"/>
    <m/>
    <s v="—"/>
    <s v="Piorou (-11 valores, -84,6%)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MP"/>
    <n v="4"/>
    <s v="Piorou (-16 valores, -88,9%)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2"/>
    <n v="8"/>
    <s v="Reprovado"/>
    <s v="MP"/>
    <n v="8"/>
    <s v="Piorou (-11 valores, -84,6%)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m/>
    <s v="—"/>
    <s v="Piorou (-14 valores, -87,5%)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2"/>
    <n v="9"/>
    <s v="Reprovado"/>
    <s v="MP"/>
    <n v="5"/>
    <s v="Piorou (-6 valores, -75%)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MP"/>
    <n v="9"/>
    <s v="Piorou (-11 valores, -84,6%)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2"/>
    <n v="13"/>
    <s v="Aprovado"/>
    <m/>
    <s v="—"/>
    <s v="Piorou (-17 valores, -89,5%)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MP"/>
    <n v="3"/>
    <s v="Piorou (-13 valores, -86,7%)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m/>
    <s v="—"/>
    <s v="Piorou (-13 valores, -86,7%)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MP"/>
    <n v="9"/>
    <s v="Piorou (-8 valores, -80%)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2"/>
    <n v="7"/>
    <s v="Reprovado"/>
    <s v="MP"/>
    <n v="11"/>
    <s v="Piorou (-7 valores, -77,8%)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2"/>
    <n v="9"/>
    <s v="Reprovado"/>
    <s v="MP"/>
    <n v="5"/>
    <s v="Piorou (-8 valores, -80%)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MP"/>
    <n v="3"/>
    <s v="Piorou (-15 valores, -88,2%)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MP"/>
    <n v="3"/>
    <s v="Piorou (-17 valores, -89,5%)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MP"/>
    <n v="9"/>
    <s v="Piorou (-11 valores, -84,6%)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2"/>
    <n v="8"/>
    <s v="Reprovado"/>
    <s v="MP"/>
    <n v="8"/>
    <s v="Piorou (-8 valores, -80%)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MP"/>
    <n v="4"/>
    <s v="Piorou (-11 valores, -84,6%)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MP"/>
    <n v="5"/>
    <s v="Piorou (-10 valores, -83,3%)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2"/>
    <n v="10"/>
    <s v="Aprovado"/>
    <m/>
    <s v="—"/>
    <s v="Piorou (-12 valores, -85,7%)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2"/>
    <n v="12"/>
    <s v="Aprovado"/>
    <m/>
    <s v="—"/>
    <s v="Piorou (-16 valores, -88,9%)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2"/>
    <n v="7"/>
    <s v="Reprovado"/>
    <s v="MP"/>
    <n v="11"/>
    <s v="Piorou (-5 valores, -71,4%)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MP"/>
    <n v="3"/>
    <s v="Piorou (-16 valores, -88,9%)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MP"/>
    <n v="3"/>
    <s v="Piorou (-13 valores, -86,7%)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2"/>
    <n v="10"/>
    <s v="Aprovado"/>
    <m/>
    <s v="—"/>
    <s v="Piorou (-9 valores, -81,8%)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m/>
    <s v="—"/>
    <s v="Piorou (-15 valores, -88,2%)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2"/>
    <n v="11"/>
    <s v="Aprovado"/>
    <m/>
    <s v="—"/>
    <s v="Piorou (-11 valores, -84,6%)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2"/>
    <n v="12"/>
    <s v="Aprovado"/>
    <m/>
    <s v="—"/>
    <s v="Piorou (-16 valores, -88,9%)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MP"/>
    <n v="9"/>
    <s v="Piorou (-10 valores, -83,3%)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2"/>
    <n v="10"/>
    <s v="Aprovado"/>
    <m/>
    <s v="—"/>
    <s v="Piorou (-17 valores, -89,5%)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m/>
    <s v="—"/>
    <s v="Piorou (-13 valores, -86,7%)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MP"/>
    <n v="4"/>
    <s v="Piorou (-7 valores, -77,8%)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m/>
    <s v="—"/>
    <s v="Piorou (-16 valores, -88,9%)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MP"/>
    <n v="9"/>
    <s v="Piorou (-8 valores, -80%)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m/>
    <s v="—"/>
    <s v="Piorou (-14 valores, -87,5%)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m/>
    <s v="—"/>
    <s v="Piorou (-12 valores, -85,7%)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2"/>
    <n v="8"/>
    <s v="Reprovado"/>
    <s v="MP"/>
    <n v="8"/>
    <s v="Piorou (-10 valores, -83,3%)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MP"/>
    <n v="12"/>
    <s v="Piorou (-8 valores, -80%)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2"/>
    <n v="8"/>
    <s v="Reprovado"/>
    <s v="MP"/>
    <n v="8"/>
    <s v="Piorou (-9 valores, -81,8%)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MP"/>
    <n v="5"/>
    <s v="Piorou (-10 valores, -83,3%)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MP"/>
    <n v="3"/>
    <s v="Piorou (-8 valores, -80%)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2"/>
    <n v="10"/>
    <s v="Aprovado"/>
    <m/>
    <s v="—"/>
    <s v="Piorou (-8 valores, -80%)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MP"/>
    <n v="4"/>
    <s v="Piorou (-12 valores, -85,7%)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2"/>
    <n v="10"/>
    <s v="Aprovado"/>
    <m/>
    <s v="—"/>
    <s v="Piorou (-14 valores, -87,5%)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m/>
    <s v="—"/>
    <s v="Piorou (-14 valores, -87,5%)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2"/>
    <n v="10"/>
    <s v="Aprovado"/>
    <m/>
    <s v="—"/>
    <s v="Piorou (-14 valores, -87,5%)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MP"/>
    <n v="4"/>
    <s v="Piorou (-12 valores, -85,7%)"/>
  </r>
  <r>
    <n v="108849"/>
    <s v="MIGUEL CARVALHO GOUVEIA MEXEDO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MP"/>
    <n v="9"/>
    <s v="Piorou (-8 valores, -80%)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m/>
    <s v="—"/>
    <s v="Piorou (-15 valores, -88,2%)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MP"/>
    <n v="9"/>
    <s v="Piorou (-7 valores, -77,8%)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2"/>
    <n v="12.333333333333334"/>
    <s v="Aprovado"/>
    <m/>
    <s v="—"/>
    <s v="Piorou (-17 valores, -89,5%)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2"/>
    <n v="8"/>
    <s v="Reprovado"/>
    <s v="MP"/>
    <n v="8"/>
    <s v="Piorou (-8 valores, -80%)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MP"/>
    <n v="3"/>
    <s v="Piorou (-14 valores, -87,5%)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m/>
    <s v="—"/>
    <s v="Piorou (-15 valores, -88,2%)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m/>
    <s v="—"/>
    <s v="Piorou (-16 valores, -88,9%)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MP"/>
    <n v="3"/>
    <s v="Piorou (-12 valores, -85,7%)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MP"/>
    <n v="3"/>
    <s v="Piorou (-12 valores, -85,7%)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MP"/>
    <n v="10"/>
    <s v="Piorou (-10 valores, -83,3%)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MP"/>
    <n v="13"/>
    <s v="Piorou (-6 valores, -75%)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m/>
    <s v="—"/>
    <s v="Piorou (-17 valores, -89,5%)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MP"/>
    <n v="4"/>
    <s v="Piorou (-7 valores, -77,8%)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MP"/>
    <n v="10"/>
    <s v="Piorou (-7 valores, -77,8%)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MP"/>
    <n v="7"/>
    <s v="Piorou (-13 valores, -86,7%)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MP"/>
    <n v="9"/>
    <s v="Piorou (-6 valores, -75%)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MP"/>
    <n v="10"/>
    <s v="Piorou (-10 valores, -83,3%)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MP"/>
    <n v="6"/>
    <s v="Piorou (-13 valores, -86,7%)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MP"/>
    <n v="9"/>
    <s v="Piorou (-9 valores, -81,8%)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2"/>
    <n v="7"/>
    <s v="Reprovado"/>
    <s v="MP"/>
    <n v="11"/>
    <s v="Piorou (-5 valores, -71,4%)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2"/>
    <n v="10"/>
    <s v="Aprovado"/>
    <m/>
    <s v="—"/>
    <s v="Piorou (-16 valores, -88,9%)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MP"/>
    <n v="13"/>
    <s v="Piorou (-7 valores, -77,8%)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MP"/>
    <n v="7"/>
    <s v="Piorou (-10 valores, -83,3%)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2"/>
    <n v="8"/>
    <s v="Reprovado"/>
    <s v="MP"/>
    <n v="8"/>
    <s v="Piorou (-10 valores, -83,3%)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2"/>
    <n v="9"/>
    <s v="Reprovado"/>
    <s v="MP"/>
    <n v="5"/>
    <s v="Piorou (-5 valores, -71,4%)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MP"/>
    <n v="7"/>
    <s v="Piorou (-13 valores, -86,7%)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MP"/>
    <n v="7"/>
    <s v="Piorou (-6 valores, -75%)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MP"/>
    <n v="9"/>
    <s v="Piorou (-6 valores, -75%)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MP"/>
    <n v="6"/>
    <s v="Piorou (-5 valores, -71,4%)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MP"/>
    <n v="12"/>
    <s v="Piorou (-8 valores, -80%)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m/>
    <s v="—"/>
    <s v="Piorou (-13 valores, -86,7%)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2"/>
    <n v="10"/>
    <s v="Aprovado"/>
    <m/>
    <s v="—"/>
    <s v="Piorou (-16 valores, -88,9%)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m/>
    <s v="—"/>
    <s v="Piorou (-13 valores, -86,7%)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MP"/>
    <n v="4"/>
    <s v="Piorou (-9 valores, -81,8%)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MP"/>
    <n v="9"/>
    <s v="Piorou (-9 valores, -81,8%)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MP"/>
    <n v="6"/>
    <s v="Piorou (-5 valores, -71,4%)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MP"/>
    <n v="4"/>
    <s v="Piorou (-14 valores, -87,5%)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MP"/>
    <n v="9"/>
    <s v="Piorou (-8 valores, -80%)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2"/>
    <n v="9"/>
    <s v="Reprovado"/>
    <s v="MP"/>
    <n v="5"/>
    <s v="Piorou (-12 valores, -85,7%)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m/>
    <s v="—"/>
    <s v="Piorou (-17 valores, -89,5%)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MP"/>
    <n v="9"/>
    <s v="Piorou (-8 valores, -80%)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MP"/>
    <n v="9"/>
    <s v="Piorou (-7 valores, -77,8%)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MP"/>
    <n v="13"/>
    <s v="Piorou (-6 valores, -75%)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MP"/>
    <n v="12"/>
    <s v="Piorou (-6 valores, -75%)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MP"/>
    <n v="4"/>
    <s v="Piorou (-7 valores, -77,8%)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MP"/>
    <n v="4"/>
    <s v="Piorou (-6 valores, -75%)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MP"/>
    <n v="10"/>
    <s v="Piorou (-9 valores, -81,8%)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MP"/>
    <n v="9"/>
    <s v="Piorou (-7 valores, -77,8%)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m/>
    <s v="—"/>
    <s v="Piorou (-10 valores, -83,3%)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MP"/>
    <n v="4"/>
    <s v="Piorou (-10 valores, -83,3%)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m/>
    <s v="—"/>
    <s v="Piorou (-17 valores, -89,5%)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m/>
    <s v="—"/>
    <s v="Piorou (-17 valores, -89,5%)"/>
  </r>
  <r>
    <n v="108654"/>
    <s v="MARIA INÊS MARQUES LOPES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MP"/>
    <n v="7"/>
    <s v="Piorou (-10 valores, -83,3%)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MP"/>
    <n v="13"/>
    <s v="Piorou (-7 valores, -77,8%)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MP"/>
    <n v="4"/>
    <s v="Piorou (-16 valores, -88,9%)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MP"/>
    <n v="4"/>
    <s v="Piorou (-10 valores, -83,3%)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2"/>
    <n v="8"/>
    <s v="Reprovado"/>
    <s v="MP"/>
    <n v="8"/>
    <s v="Piorou (-12 valores, -85,7%)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2"/>
    <n v="10"/>
    <s v="Aprovado"/>
    <m/>
    <s v="—"/>
    <s v="Piorou (-12 valores, -85,7%)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2"/>
    <n v="10.333333333333334"/>
    <s v="Aprovado"/>
    <m/>
    <s v="—"/>
    <s v="Piorou (-16 valores, -88,9%)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2"/>
    <n v="11"/>
    <s v="Aprovado"/>
    <m/>
    <s v="—"/>
    <s v="Piorou (-11 valores, -84,6%)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2"/>
    <n v="7"/>
    <s v="Reprovado"/>
    <s v="MP"/>
    <n v="11"/>
    <s v="Piorou (-6 valores, -75%)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m/>
    <s v="—"/>
    <s v="Piorou (-11 valores, -84,6%)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2"/>
    <n v="10.666666666666666"/>
    <s v="Aprovado"/>
    <m/>
    <s v="—"/>
    <s v="Piorou (-12 valores, -85,7%)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2"/>
    <n v="9"/>
    <s v="Reprovado"/>
    <s v="MP"/>
    <n v="5"/>
    <s v="Piorou (-7 valores, -77,8%)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m/>
    <s v="—"/>
    <s v="Piorou (-17 valores, -89,5%)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m/>
    <s v="—"/>
    <s v="Piorou (-16 valores, -88,9%)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MP"/>
    <n v="10"/>
    <s v="Piorou (-8 valores, -80%)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2"/>
    <n v="6"/>
    <s v="Reprovado"/>
    <s v="MP"/>
    <n v="14"/>
    <s v="Piorou (-6 valores, -75%)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m/>
    <s v="—"/>
    <s v="Piorou (-14 valores, -87,5%)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2"/>
    <n v="10"/>
    <s v="Aprovado"/>
    <m/>
    <s v="—"/>
    <s v="Piorou (-10 valores, -83,3%)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MP"/>
    <n v="3"/>
    <s v="Piorou (-14 valores, -87,5%)"/>
  </r>
  <r>
    <n v="102437"/>
    <s v="JÚLIA MONIZ GANCHAS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m/>
    <s v="—"/>
    <s v="Piorou (-14 valores, -87,5%)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MP"/>
    <n v="3"/>
    <s v="Piorou (-7 valores, -77,8%)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MP"/>
    <n v="13"/>
    <s v="Piorou (-5 valores, -71,4%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">
  <r>
    <n v="107447"/>
    <x v="0"/>
    <s v="maria.ines03@ua.pt"/>
    <n v="8314"/>
    <s v="TP2"/>
    <s v="P1a"/>
    <s v="O "/>
    <n v="13"/>
    <n v="2"/>
    <n v="1"/>
    <n v="3"/>
    <n v="2"/>
    <n v="7"/>
    <n v="15"/>
    <n v="2"/>
    <n v="10"/>
    <s v="Aprovado"/>
    <s v="Piorou (-13 valores, -86,7%)"/>
    <m/>
    <s v="—"/>
  </r>
  <r>
    <n v="94716"/>
    <x v="1"/>
    <s v="acatarinafmarques@ua.pt"/>
    <n v="8246"/>
    <s v="TP1"/>
    <s v="P8"/>
    <s v="O "/>
    <n v="8"/>
    <n v="3"/>
    <n v="4"/>
    <n v="2"/>
    <n v="1"/>
    <n v="1"/>
    <n v="11"/>
    <n v="2"/>
    <n v="7"/>
    <s v="Reprovado"/>
    <s v="Piorou (-9 valores, -81,8%)"/>
    <s v="MP"/>
    <n v="11"/>
  </r>
  <r>
    <n v="107135"/>
    <x v="2"/>
    <s v="marianamarques04@ua.pt"/>
    <n v="8314"/>
    <s v="TP2"/>
    <s v="P2"/>
    <s v="O "/>
    <n v="11"/>
    <n v="1"/>
    <n v="3"/>
    <n v="4"/>
    <n v="1"/>
    <n v="1"/>
    <n v="10"/>
    <n v="2"/>
    <n v="7.666666666666667"/>
    <s v="Reprovado"/>
    <s v="Piorou (-8 valores, -80%)"/>
    <s v="MP"/>
    <n v="9"/>
  </r>
  <r>
    <n v="107390"/>
    <x v="3"/>
    <s v="mariaforte@ua.pt"/>
    <n v="8314"/>
    <s v="NO_TP"/>
    <m/>
    <m/>
    <n v="11"/>
    <n v="13"/>
    <n v="2"/>
    <n v="1"/>
    <n v="2"/>
    <n v="1"/>
    <n v="19"/>
    <n v="2"/>
    <n v="10.666666666666666"/>
    <s v="Aprovado"/>
    <s v="Piorou (-17 valores, -89,5%)"/>
    <m/>
    <s v="—"/>
  </r>
  <r>
    <n v="108121"/>
    <x v="4"/>
    <s v="dani.teles@ua.pt"/>
    <n v="8314"/>
    <s v="TP1"/>
    <s v="P10"/>
    <s v="O "/>
    <n v="15"/>
    <n v="1"/>
    <n v="2"/>
    <n v="2"/>
    <n v="1"/>
    <n v="1"/>
    <n v="7"/>
    <n v="2"/>
    <n v="8"/>
    <s v="Reprovado"/>
    <s v="Piorou (-5 valores, -71,4%)"/>
    <s v="MP"/>
    <n v="8"/>
  </r>
  <r>
    <n v="107242"/>
    <x v="5"/>
    <s v="joanammsilva@ua.pt"/>
    <n v="8314"/>
    <s v="TP1"/>
    <s v="P7"/>
    <s v="O "/>
    <n v="17"/>
    <n v="1"/>
    <n v="1"/>
    <n v="1"/>
    <n v="4"/>
    <n v="4"/>
    <n v="11"/>
    <n v="2"/>
    <n v="10"/>
    <s v="Aprovado"/>
    <s v="Piorou (-9 valores, -81,8%)"/>
    <m/>
    <s v="—"/>
  </r>
  <r>
    <n v="108589"/>
    <x v="6"/>
    <s v="joana.inacio8@ua.pt"/>
    <n v="8314"/>
    <s v="TP2"/>
    <s v="P6"/>
    <s v="O "/>
    <n v="11"/>
    <n v="1"/>
    <n v="2"/>
    <n v="2"/>
    <n v="1"/>
    <n v="4"/>
    <n v="10"/>
    <n v="2"/>
    <n v="7.666666666666667"/>
    <s v="Reprovado"/>
    <s v="Piorou (-8 valores, -80%)"/>
    <s v="MP"/>
    <n v="9"/>
  </r>
  <r>
    <n v="108522"/>
    <x v="7"/>
    <s v="jpaabreu@ua.pt"/>
    <n v="8315"/>
    <s v="TP1"/>
    <s v="P7"/>
    <s v="O "/>
    <n v="13"/>
    <n v="2"/>
    <n v="3"/>
    <n v="3"/>
    <n v="1"/>
    <n v="9"/>
    <n v="18"/>
    <n v="2"/>
    <n v="11"/>
    <s v="Aprovado"/>
    <s v="Piorou (-16 valores, -88,9%)"/>
    <m/>
    <s v="—"/>
  </r>
  <r>
    <n v="107218"/>
    <x v="8"/>
    <s v="eduardacastro@ua.pt"/>
    <n v="8314"/>
    <s v="TP2"/>
    <s v="P5"/>
    <s v="O "/>
    <n v="10"/>
    <n v="2"/>
    <n v="2"/>
    <n v="6"/>
    <n v="7"/>
    <n v="2"/>
    <n v="19"/>
    <n v="2"/>
    <n v="10.333333333333334"/>
    <s v="Aprovado"/>
    <s v="Piorou (-17 valores, -89,5%)"/>
    <m/>
    <s v="—"/>
  </r>
  <r>
    <n v="108189"/>
    <x v="9"/>
    <s v="gasparbarbosa@ua.pt"/>
    <n v="8314"/>
    <s v="TP2"/>
    <s v="P2"/>
    <s v="O "/>
    <n v="12"/>
    <n v="1"/>
    <n v="1"/>
    <n v="2"/>
    <n v="5"/>
    <n v="4"/>
    <n v="13"/>
    <n v="2"/>
    <n v="9"/>
    <s v="Reprovado"/>
    <s v="Piorou (-11 valores, -84,6%)"/>
    <s v="MP"/>
    <n v="5"/>
  </r>
  <r>
    <n v="107372"/>
    <x v="10"/>
    <s v="eliana.bettencourt@ua.pt"/>
    <n v="8314"/>
    <s v="TP2"/>
    <s v="P2"/>
    <s v="O "/>
    <n v="15"/>
    <n v="6"/>
    <n v="4"/>
    <n v="1"/>
    <n v="4"/>
    <n v="1"/>
    <n v="16"/>
    <n v="2"/>
    <n v="11"/>
    <s v="Aprovado"/>
    <s v="Piorou (-14 valores, -87,5%)"/>
    <m/>
    <s v="—"/>
  </r>
  <r>
    <n v="108957"/>
    <x v="11"/>
    <s v="diogo.gcanhoto@ua.pt"/>
    <n v="8314"/>
    <s v="TP1"/>
    <s v="P8"/>
    <s v="O "/>
    <n v="14"/>
    <n v="1"/>
    <n v="5"/>
    <n v="2"/>
    <n v="5"/>
    <n v="5"/>
    <n v="18"/>
    <n v="2"/>
    <n v="11.333333333333334"/>
    <s v="Aprovado"/>
    <s v="Piorou (-16 valores, -88,9%)"/>
    <m/>
    <s v="—"/>
  </r>
  <r>
    <n v="107440"/>
    <x v="12"/>
    <s v="gab.oliveira@ua.pt"/>
    <n v="8314"/>
    <s v="TP2"/>
    <s v="P1"/>
    <s v="O "/>
    <n v="16"/>
    <n v="5"/>
    <n v="1"/>
    <n v="2"/>
    <n v="5"/>
    <n v="2"/>
    <n v="15"/>
    <n v="2"/>
    <n v="11"/>
    <s v="Aprovado"/>
    <s v="Piorou (-13 valores, -86,7%)"/>
    <m/>
    <s v="—"/>
  </r>
  <r>
    <n v="108188"/>
    <x v="13"/>
    <s v="joaomat22@ua.pt"/>
    <n v="8314"/>
    <s v="TP2"/>
    <s v="P1"/>
    <s v="O "/>
    <n v="16"/>
    <n v="1"/>
    <n v="2"/>
    <n v="1"/>
    <n v="2"/>
    <n v="1"/>
    <n v="7"/>
    <n v="2"/>
    <n v="8.3333333333333339"/>
    <s v="Reprovado"/>
    <s v="Piorou (-5 valores, -71,4%)"/>
    <s v="MP"/>
    <n v="7"/>
  </r>
  <r>
    <n v="108855"/>
    <x v="14"/>
    <s v="marianagmoreira@ua.pt"/>
    <n v="8314"/>
    <s v="TP1"/>
    <s v="P8"/>
    <s v="O "/>
    <n v="18"/>
    <n v="2"/>
    <n v="1"/>
    <n v="7"/>
    <n v="1"/>
    <n v="4"/>
    <n v="15"/>
    <n v="2"/>
    <n v="11.666666666666666"/>
    <s v="Aprovado"/>
    <s v="Piorou (-13 valores, -86,7%)"/>
    <m/>
    <s v="—"/>
  </r>
  <r>
    <n v="108672"/>
    <x v="15"/>
    <s v="marianacordeiro05@ua.pt"/>
    <n v="8314"/>
    <s v="TP1"/>
    <s v="P8"/>
    <s v="O "/>
    <n v="9"/>
    <n v="1"/>
    <n v="4"/>
    <n v="1"/>
    <n v="1"/>
    <n v="5"/>
    <n v="12"/>
    <n v="2"/>
    <n v="7.666666666666667"/>
    <s v="Reprovado"/>
    <s v="Piorou (-10 valores, -83,3%)"/>
    <s v="MP"/>
    <n v="9"/>
  </r>
  <r>
    <n v="108138"/>
    <x v="16"/>
    <s v="diogo.orfao@ua.pt"/>
    <n v="8314"/>
    <s v="TP2"/>
    <s v="P1"/>
    <s v="O "/>
    <n v="14"/>
    <n v="3"/>
    <n v="1"/>
    <n v="2"/>
    <n v="5"/>
    <n v="5"/>
    <n v="16"/>
    <n v="2"/>
    <n v="10.666666666666666"/>
    <s v="Aprovado"/>
    <s v="Piorou (-14 valores, -87,5%)"/>
    <m/>
    <s v="—"/>
  </r>
  <r>
    <n v="107236"/>
    <x v="17"/>
    <s v="beatriz.afonso@ua.pt"/>
    <n v="8314"/>
    <s v="TP1"/>
    <s v="P8"/>
    <s v="O "/>
    <n v="15"/>
    <n v="1"/>
    <n v="2"/>
    <n v="1"/>
    <n v="2"/>
    <n v="1"/>
    <n v="7"/>
    <n v="2"/>
    <n v="8"/>
    <s v="Reprovado"/>
    <s v="Piorou (-5 valores, -71,4%)"/>
    <s v="MP"/>
    <n v="8"/>
  </r>
  <r>
    <n v="104204"/>
    <x v="18"/>
    <s v="alexander.antoni@ua.pt"/>
    <n v="8307"/>
    <s v="TP1"/>
    <s v="P8"/>
    <s v="O "/>
    <n v="15"/>
    <n v="6"/>
    <n v="1"/>
    <n v="1"/>
    <n v="3"/>
    <n v="8"/>
    <n v="19"/>
    <n v="2"/>
    <n v="12"/>
    <s v="Aprovado"/>
    <s v="Piorou (-17 valores, -89,5%)"/>
    <m/>
    <s v="—"/>
  </r>
  <r>
    <n v="107428"/>
    <x v="19"/>
    <s v="i.melo@ua.pt"/>
    <n v="8314"/>
    <s v="TP1"/>
    <s v="P10"/>
    <s v="O "/>
    <n v="16"/>
    <n v="1"/>
    <n v="2"/>
    <n v="10"/>
    <n v="1"/>
    <n v="2"/>
    <n v="16"/>
    <n v="2"/>
    <n v="11.333333333333334"/>
    <s v="Aprovado"/>
    <s v="Piorou (-14 valores, -87,5%)"/>
    <m/>
    <s v="—"/>
  </r>
  <r>
    <n v="107259"/>
    <x v="20"/>
    <s v="daniel.mota.leal@ua.pt"/>
    <n v="8314"/>
    <s v="TP1"/>
    <s v="P10"/>
    <s v="O "/>
    <n v="9"/>
    <n v="2"/>
    <n v="1"/>
    <n v="5"/>
    <n v="3"/>
    <n v="2"/>
    <n v="13"/>
    <n v="2"/>
    <n v="8"/>
    <s v="Reprovado"/>
    <s v="Piorou (-11 valores, -84,6%)"/>
    <s v="MP"/>
    <n v="8"/>
  </r>
  <r>
    <n v="100088"/>
    <x v="21"/>
    <s v="maria.castro@ua.pt"/>
    <n v="8307"/>
    <s v="TP2"/>
    <s v="P1"/>
    <s v="O "/>
    <n v="13"/>
    <n v="6"/>
    <n v="3"/>
    <n v="1"/>
    <n v="1"/>
    <n v="1"/>
    <n v="12"/>
    <n v="2"/>
    <n v="9"/>
    <s v="Reprovado"/>
    <s v="Piorou (-10 valores, -83,3%)"/>
    <s v="MP"/>
    <n v="5"/>
  </r>
  <r>
    <n v="108506"/>
    <x v="22"/>
    <s v="carolinacatalao@ua.pt"/>
    <n v="8314"/>
    <s v="TP2"/>
    <s v="P1"/>
    <s v="O "/>
    <n v="17"/>
    <n v="1"/>
    <n v="2"/>
    <n v="2"/>
    <n v="4"/>
    <n v="1"/>
    <n v="10"/>
    <n v="2"/>
    <n v="9.6666666666666661"/>
    <s v="Reprovado"/>
    <s v="Piorou (-8 valores, -80%)"/>
    <s v="MP"/>
    <n v="3"/>
  </r>
  <r>
    <n v="110376"/>
    <x v="23"/>
    <s v="rfigueiredo@ua.pt"/>
    <n v="8314"/>
    <s v="TP2"/>
    <s v="P1"/>
    <s v="O "/>
    <n v="16"/>
    <n v="1"/>
    <n v="1"/>
    <n v="2"/>
    <n v="2"/>
    <n v="2"/>
    <n v="8"/>
    <n v="2"/>
    <n v="8.6666666666666661"/>
    <s v="Reprovado"/>
    <s v="Piorou (-6 valores, -75%)"/>
    <s v="MP"/>
    <n v="6"/>
  </r>
  <r>
    <n v="109038"/>
    <x v="24"/>
    <s v="martabdg@ua.pt"/>
    <n v="8314"/>
    <s v="TP1"/>
    <s v="P10"/>
    <s v="O "/>
    <n v="17"/>
    <n v="5"/>
    <n v="2"/>
    <n v="2"/>
    <n v="2"/>
    <n v="4"/>
    <n v="15"/>
    <n v="2"/>
    <n v="11.333333333333334"/>
    <s v="Aprovado"/>
    <s v="Piorou (-13 valores, -86,7%)"/>
    <m/>
    <s v="—"/>
  </r>
  <r>
    <n v="108727"/>
    <x v="25"/>
    <s v="joaorolo03@ua.pt"/>
    <n v="8314"/>
    <s v="TP1"/>
    <s v="P10"/>
    <s v="O "/>
    <n v="12"/>
    <n v="1"/>
    <n v="1"/>
    <n v="1"/>
    <n v="1"/>
    <n v="3"/>
    <n v="7"/>
    <n v="2"/>
    <n v="7"/>
    <s v="Reprovado"/>
    <s v="Piorou (-5 valores, -71,4%)"/>
    <s v="MP"/>
    <n v="11"/>
  </r>
  <r>
    <n v="93973"/>
    <x v="26"/>
    <s v="cdmartins@ua.pt"/>
    <n v="8307"/>
    <s v="TP1"/>
    <s v="P10"/>
    <s v="O "/>
    <n v="11"/>
    <n v="3"/>
    <n v="2"/>
    <n v="1"/>
    <n v="3"/>
    <n v="2"/>
    <n v="11"/>
    <n v="2"/>
    <n v="8"/>
    <s v="Reprovado"/>
    <s v="Piorou (-9 valores, -81,8%)"/>
    <s v="MP"/>
    <n v="8"/>
  </r>
  <r>
    <n v="108381"/>
    <x v="27"/>
    <s v="marianaleite26@ua.pt"/>
    <n v="8314"/>
    <s v="TP1"/>
    <s v="P10"/>
    <s v="O "/>
    <n v="8"/>
    <n v="3"/>
    <n v="2"/>
    <n v="2"/>
    <n v="2"/>
    <n v="9"/>
    <n v="18"/>
    <n v="2"/>
    <n v="9.3333333333333339"/>
    <s v="Reprovado"/>
    <s v="Piorou (-16 valores, -88,9%)"/>
    <s v="MP"/>
    <n v="4"/>
  </r>
  <r>
    <n v="108694"/>
    <x v="28"/>
    <s v="miguelxlira7@ua.pt"/>
    <n v="8314"/>
    <s v="TP1"/>
    <s v="P10"/>
    <s v="O "/>
    <n v="11"/>
    <n v="1"/>
    <n v="3"/>
    <n v="1"/>
    <n v="11"/>
    <n v="2"/>
    <n v="18"/>
    <n v="2"/>
    <n v="10.333333333333334"/>
    <s v="Aprovado"/>
    <s v="Piorou (-16 valores, -88,9%)"/>
    <m/>
    <s v="—"/>
  </r>
  <r>
    <n v="108421"/>
    <x v="29"/>
    <s v="marques.afonso@ua.pt"/>
    <n v="8314"/>
    <s v="TP2"/>
    <s v="P1"/>
    <s v="O "/>
    <n v="13"/>
    <n v="1"/>
    <n v="2"/>
    <n v="1"/>
    <n v="4"/>
    <n v="8"/>
    <n v="16"/>
    <n v="2"/>
    <n v="10.333333333333334"/>
    <s v="Aprovado"/>
    <s v="Piorou (-14 valores, -87,5%)"/>
    <m/>
    <s v="—"/>
  </r>
  <r>
    <n v="108366"/>
    <x v="30"/>
    <s v="leonor.marques@ua.pt"/>
    <n v="8314"/>
    <s v="TP1"/>
    <s v="P10"/>
    <s v="O "/>
    <n v="8"/>
    <n v="2"/>
    <n v="3"/>
    <n v="1"/>
    <n v="1"/>
    <n v="6"/>
    <n v="13"/>
    <n v="2"/>
    <n v="7.666666666666667"/>
    <s v="Reprovado"/>
    <s v="Piorou (-11 valores, -84,6%)"/>
    <s v="MP"/>
    <n v="9"/>
  </r>
  <r>
    <n v="109462"/>
    <x v="31"/>
    <s v="joaohenriquesantos@ua.pt"/>
    <n v="8314"/>
    <s v="TP1"/>
    <s v="P10"/>
    <s v="O "/>
    <n v="10"/>
    <n v="5"/>
    <n v="4"/>
    <n v="1"/>
    <n v="1"/>
    <n v="1"/>
    <n v="12"/>
    <n v="2"/>
    <n v="8"/>
    <s v="Reprovado"/>
    <s v="Piorou (-10 valores, -83,3%)"/>
    <s v="MP"/>
    <n v="8"/>
  </r>
  <r>
    <n v="93742"/>
    <x v="32"/>
    <s v="pedrosilva5@ua.pt"/>
    <n v="8307"/>
    <s v="TP1"/>
    <s v="P10"/>
    <s v="O "/>
    <n v="11"/>
    <n v="2"/>
    <n v="3"/>
    <n v="5"/>
    <n v="2"/>
    <n v="2"/>
    <n v="14"/>
    <n v="2"/>
    <n v="9"/>
    <s v="Reprovado"/>
    <s v="Piorou (-12 valores, -85,7%)"/>
    <s v="MP"/>
    <n v="5"/>
  </r>
  <r>
    <n v="109000"/>
    <x v="33"/>
    <s v="andresramos@ua.pt"/>
    <n v="8314"/>
    <s v="TP1"/>
    <s v="P10"/>
    <s v="O "/>
    <n v="16"/>
    <n v="1"/>
    <n v="3"/>
    <n v="1"/>
    <n v="4"/>
    <n v="6"/>
    <n v="15"/>
    <n v="2"/>
    <n v="11"/>
    <s v="Aprovado"/>
    <s v="Piorou (-13 valores, -86,7%)"/>
    <m/>
    <s v="—"/>
  </r>
  <r>
    <n v="107769"/>
    <x v="34"/>
    <s v="mcss@ua.pt"/>
    <n v="8314"/>
    <s v="TP1"/>
    <s v="P8"/>
    <s v="O "/>
    <n v="9"/>
    <n v="1"/>
    <n v="1"/>
    <n v="2"/>
    <n v="7"/>
    <n v="4"/>
    <n v="15"/>
    <n v="2"/>
    <n v="8.6666666666666661"/>
    <s v="Reprovado"/>
    <s v="Piorou (-13 valores, -86,7%)"/>
    <s v="MP"/>
    <n v="6"/>
  </r>
  <r>
    <n v="101446"/>
    <x v="35"/>
    <s v="lucaslouzada@ua.pt"/>
    <n v="8307"/>
    <s v="TP2"/>
    <s v="P1"/>
    <s v="O "/>
    <n v="11"/>
    <n v="3"/>
    <n v="9"/>
    <n v="1"/>
    <n v="1"/>
    <n v="2"/>
    <n v="16"/>
    <n v="2"/>
    <n v="9.6666666666666661"/>
    <s v="Reprovado"/>
    <s v="Piorou (-14 valores, -87,5%)"/>
    <s v="MP"/>
    <n v="3"/>
  </r>
  <r>
    <n v="109061"/>
    <x v="36"/>
    <s v="angelammaribeiro@ua.pt"/>
    <n v="8314"/>
    <s v="TP1"/>
    <s v="P10"/>
    <s v="O "/>
    <n v="11"/>
    <n v="1"/>
    <n v="2"/>
    <n v="1"/>
    <n v="3"/>
    <n v="2"/>
    <n v="9"/>
    <n v="2"/>
    <n v="7.333333333333333"/>
    <s v="Reprovado"/>
    <s v="Piorou (-7 valores, -77,8%)"/>
    <s v="MP"/>
    <n v="10"/>
  </r>
  <r>
    <n v="107487"/>
    <x v="37"/>
    <s v="joaomoreira10@ua.pt"/>
    <n v="8314"/>
    <s v="TP2"/>
    <s v="P2"/>
    <s v="O "/>
    <n v="11"/>
    <n v="1"/>
    <n v="2"/>
    <n v="3"/>
    <n v="4"/>
    <n v="5"/>
    <n v="15"/>
    <n v="2"/>
    <n v="9.3333333333333339"/>
    <s v="Reprovado"/>
    <s v="Piorou (-13 valores, -86,7%)"/>
    <s v="MP"/>
    <n v="4"/>
  </r>
  <r>
    <n v="107436"/>
    <x v="38"/>
    <s v="filipamarisamota@ua.pt"/>
    <n v="8314"/>
    <s v="TP2"/>
    <s v="P1"/>
    <s v="O "/>
    <n v="15"/>
    <n v="1"/>
    <n v="1"/>
    <n v="4"/>
    <n v="2"/>
    <n v="5"/>
    <n v="13"/>
    <n v="2"/>
    <n v="10"/>
    <s v="Aprovado"/>
    <s v="Piorou (-11 valores, -84,6%)"/>
    <m/>
    <s v="—"/>
  </r>
  <r>
    <n v="107529"/>
    <x v="39"/>
    <s v="mar.eduarda@ua.pt"/>
    <n v="8314"/>
    <s v="TP1"/>
    <s v="P10"/>
    <s v="O "/>
    <n v="8"/>
    <n v="3"/>
    <n v="1"/>
    <n v="1"/>
    <n v="3"/>
    <n v="10"/>
    <n v="18"/>
    <n v="2"/>
    <n v="9.3333333333333339"/>
    <s v="Reprovado"/>
    <s v="Piorou (-16 valores, -88,9%)"/>
    <s v="MP"/>
    <n v="4"/>
  </r>
  <r>
    <n v="107879"/>
    <x v="40"/>
    <s v="vasco.costa@ua.pt"/>
    <n v="8314"/>
    <s v="TP1"/>
    <s v="P10"/>
    <s v="O "/>
    <n v="9"/>
    <n v="3"/>
    <n v="1"/>
    <n v="2"/>
    <n v="2"/>
    <n v="5"/>
    <n v="13"/>
    <n v="2"/>
    <n v="8"/>
    <s v="Reprovado"/>
    <s v="Piorou (-11 valores, -84,6%)"/>
    <s v="MP"/>
    <n v="8"/>
  </r>
  <r>
    <n v="107788"/>
    <x v="41"/>
    <s v="luzia.ferreira@ua.pt"/>
    <n v="8314"/>
    <s v="TP1"/>
    <s v="P9"/>
    <s v="O "/>
    <n v="17"/>
    <n v="1"/>
    <n v="1"/>
    <n v="3"/>
    <n v="4"/>
    <n v="7"/>
    <n v="16"/>
    <n v="2"/>
    <n v="11.666666666666666"/>
    <s v="Aprovado"/>
    <s v="Piorou (-14 valores, -87,5%)"/>
    <m/>
    <s v="—"/>
  </r>
  <r>
    <n v="108449"/>
    <x v="42"/>
    <s v="leonorsalgado@ua.pt"/>
    <n v="8314"/>
    <s v="TP1"/>
    <s v="P9"/>
    <s v="O "/>
    <n v="17"/>
    <n v="4"/>
    <n v="1"/>
    <n v="1"/>
    <n v="1"/>
    <n v="1"/>
    <n v="8"/>
    <n v="2"/>
    <n v="9"/>
    <s v="Reprovado"/>
    <s v="Piorou (-6 valores, -75%)"/>
    <s v="MP"/>
    <n v="5"/>
  </r>
  <r>
    <n v="108651"/>
    <x v="43"/>
    <s v="larabfernandes@ua.pt"/>
    <n v="8314"/>
    <s v="TP2"/>
    <s v="P2"/>
    <s v="O "/>
    <n v="8"/>
    <n v="3"/>
    <n v="1"/>
    <n v="1"/>
    <n v="3"/>
    <n v="5"/>
    <n v="13"/>
    <n v="2"/>
    <n v="7.666666666666667"/>
    <s v="Reprovado"/>
    <s v="Piorou (-11 valores, -84,6%)"/>
    <s v="MP"/>
    <n v="9"/>
  </r>
  <r>
    <n v="107560"/>
    <x v="44"/>
    <s v="gabrielcastrosilva@ua.pt"/>
    <n v="8314"/>
    <s v="TP1"/>
    <s v="P9"/>
    <s v="O "/>
    <n v="18"/>
    <n v="8"/>
    <n v="1"/>
    <n v="2"/>
    <n v="2"/>
    <n v="6"/>
    <n v="19"/>
    <n v="2"/>
    <n v="13"/>
    <s v="Aprovado"/>
    <s v="Piorou (-17 valores, -89,5%)"/>
    <m/>
    <s v="—"/>
  </r>
  <r>
    <n v="107977"/>
    <x v="45"/>
    <s v="inesbebiano@ua.pt"/>
    <n v="8314"/>
    <s v="TP1"/>
    <s v="P9"/>
    <s v="O "/>
    <n v="12"/>
    <n v="2"/>
    <n v="6"/>
    <n v="1"/>
    <n v="3"/>
    <n v="3"/>
    <n v="15"/>
    <n v="2"/>
    <n v="9.6666666666666661"/>
    <s v="Reprovado"/>
    <s v="Piorou (-13 valores, -86,7%)"/>
    <s v="MP"/>
    <n v="3"/>
  </r>
  <r>
    <n v="107369"/>
    <x v="46"/>
    <s v="vasco.rocha@ua.pt"/>
    <n v="8314"/>
    <s v="TP2"/>
    <s v="P2"/>
    <s v="O "/>
    <n v="15"/>
    <n v="6"/>
    <n v="2"/>
    <n v="2"/>
    <n v="4"/>
    <n v="1"/>
    <n v="15"/>
    <n v="2"/>
    <n v="10.666666666666666"/>
    <s v="Aprovado"/>
    <s v="Piorou (-13 valores, -86,7%)"/>
    <m/>
    <s v="—"/>
  </r>
  <r>
    <n v="108171"/>
    <x v="47"/>
    <s v="ana.assuncao31@ua.pt"/>
    <n v="8314"/>
    <s v="TP1"/>
    <s v="P9"/>
    <s v="O "/>
    <n v="11"/>
    <n v="1"/>
    <n v="1"/>
    <n v="5"/>
    <n v="2"/>
    <n v="1"/>
    <n v="10"/>
    <n v="2"/>
    <n v="7.666666666666667"/>
    <s v="Reprovado"/>
    <s v="Piorou (-8 valores, -80%)"/>
    <s v="MP"/>
    <n v="9"/>
  </r>
  <r>
    <n v="107920"/>
    <x v="48"/>
    <s v="alex.vale@ua.pt"/>
    <n v="8314"/>
    <s v="TP2"/>
    <s v="P1"/>
    <s v="O "/>
    <n v="10"/>
    <n v="2"/>
    <n v="3"/>
    <n v="1"/>
    <n v="1"/>
    <n v="2"/>
    <n v="9"/>
    <n v="2"/>
    <n v="7"/>
    <s v="Reprovado"/>
    <s v="Piorou (-7 valores, -77,8%)"/>
    <s v="MP"/>
    <n v="11"/>
  </r>
  <r>
    <n v="109342"/>
    <x v="49"/>
    <s v="matildem03@ua.pt"/>
    <n v="8314"/>
    <s v="TP1"/>
    <s v="P9"/>
    <s v="O "/>
    <n v="15"/>
    <n v="3"/>
    <n v="2"/>
    <n v="1"/>
    <n v="1"/>
    <n v="3"/>
    <n v="10"/>
    <n v="2"/>
    <n v="9"/>
    <s v="Reprovado"/>
    <s v="Piorou (-8 valores, -80%)"/>
    <s v="MP"/>
    <n v="5"/>
  </r>
  <r>
    <n v="108430"/>
    <x v="50"/>
    <s v="martim.sousa@ua.pt"/>
    <n v="8314"/>
    <s v="TP2"/>
    <s v="P2"/>
    <s v="O "/>
    <n v="10"/>
    <n v="3"/>
    <n v="9"/>
    <n v="2"/>
    <n v="2"/>
    <n v="1"/>
    <n v="17"/>
    <n v="2"/>
    <n v="9.6666666666666661"/>
    <s v="Reprovado"/>
    <s v="Piorou (-15 valores, -88,2%)"/>
    <s v="MP"/>
    <n v="3"/>
  </r>
  <r>
    <n v="108816"/>
    <x v="51"/>
    <s v="diogonogueira@ua.pt"/>
    <n v="8314"/>
    <s v="TP1"/>
    <s v="P9"/>
    <s v="O "/>
    <n v="8"/>
    <n v="5"/>
    <n v="4"/>
    <n v="4"/>
    <n v="1"/>
    <n v="5"/>
    <n v="19"/>
    <n v="2"/>
    <n v="9.6666666666666661"/>
    <s v="Reprovado"/>
    <s v="Piorou (-17 valores, -89,5%)"/>
    <s v="MP"/>
    <n v="3"/>
  </r>
  <r>
    <n v="108842"/>
    <x v="52"/>
    <s v="emasofiacastro@ua.pt"/>
    <n v="8314"/>
    <s v="TP1"/>
    <s v="P9"/>
    <s v="O "/>
    <n v="8"/>
    <n v="1"/>
    <n v="6"/>
    <n v="1"/>
    <n v="4"/>
    <n v="1"/>
    <n v="13"/>
    <n v="2"/>
    <n v="7.666666666666667"/>
    <s v="Reprovado"/>
    <s v="Piorou (-11 valores, -84,6%)"/>
    <s v="MP"/>
    <n v="9"/>
  </r>
  <r>
    <n v="103797"/>
    <x v="53"/>
    <s v="carolina.neiva@ua.pt"/>
    <n v="8307"/>
    <s v="TP1"/>
    <s v="P9"/>
    <s v="O "/>
    <n v="12"/>
    <n v="1"/>
    <n v="3"/>
    <n v="3"/>
    <n v="1"/>
    <n v="2"/>
    <n v="10"/>
    <n v="2"/>
    <n v="8"/>
    <s v="Reprovado"/>
    <s v="Piorou (-8 valores, -80%)"/>
    <s v="MP"/>
    <n v="8"/>
  </r>
  <r>
    <n v="107777"/>
    <x v="54"/>
    <s v="pmvl@ua.pt"/>
    <n v="8314"/>
    <s v="TP2"/>
    <s v="P1"/>
    <s v="O "/>
    <n v="13"/>
    <n v="3"/>
    <n v="1"/>
    <n v="1"/>
    <n v="4"/>
    <n v="4"/>
    <n v="13"/>
    <n v="2"/>
    <n v="9.3333333333333339"/>
    <s v="Reprovado"/>
    <s v="Piorou (-11 valores, -84,6%)"/>
    <s v="MP"/>
    <n v="4"/>
  </r>
  <r>
    <n v="107717"/>
    <x v="55"/>
    <s v="margarida.ribeiro60@ua.pt"/>
    <n v="8314"/>
    <s v="TP1"/>
    <s v="P9"/>
    <s v="O "/>
    <n v="13"/>
    <n v="4"/>
    <n v="1"/>
    <n v="3"/>
    <n v="2"/>
    <n v="2"/>
    <n v="12"/>
    <n v="2"/>
    <n v="9"/>
    <s v="Reprovado"/>
    <s v="Piorou (-10 valores, -83,3%)"/>
    <s v="MP"/>
    <n v="5"/>
  </r>
  <r>
    <n v="103443"/>
    <x v="56"/>
    <s v="mariainesst@ua.pt"/>
    <n v="8307"/>
    <s v="TP2"/>
    <s v="P1"/>
    <s v="O "/>
    <n v="14"/>
    <n v="2"/>
    <n v="4"/>
    <n v="2"/>
    <n v="1"/>
    <n v="5"/>
    <n v="14"/>
    <n v="2"/>
    <n v="10"/>
    <s v="Aprovado"/>
    <s v="Piorou (-12 valores, -85,7%)"/>
    <m/>
    <s v="—"/>
  </r>
  <r>
    <n v="108950"/>
    <x v="57"/>
    <s v="sofia.fcosta@ua.pt"/>
    <n v="8314"/>
    <s v="TP1"/>
    <s v="P9"/>
    <s v="O "/>
    <n v="16"/>
    <n v="3"/>
    <n v="6"/>
    <n v="1"/>
    <n v="1"/>
    <n v="7"/>
    <n v="18"/>
    <n v="2"/>
    <n v="12"/>
    <s v="Aprovado"/>
    <s v="Piorou (-16 valores, -88,9%)"/>
    <m/>
    <s v="—"/>
  </r>
  <r>
    <n v="108079"/>
    <x v="58"/>
    <s v="mariajcmendes@ua.pt"/>
    <n v="8314"/>
    <s v="TP1"/>
    <s v="P9"/>
    <s v="O "/>
    <n v="12"/>
    <n v="2"/>
    <n v="1"/>
    <n v="1"/>
    <n v="2"/>
    <n v="1"/>
    <n v="7"/>
    <n v="2"/>
    <n v="7"/>
    <s v="Reprovado"/>
    <s v="Piorou (-5 valores, -71,4%)"/>
    <s v="MP"/>
    <n v="11"/>
  </r>
  <r>
    <n v="109163"/>
    <x v="59"/>
    <s v="rpa04@ua.pt"/>
    <n v="8314"/>
    <s v="TP1"/>
    <s v="P9"/>
    <s v="O "/>
    <n v="9"/>
    <n v="4"/>
    <n v="2"/>
    <n v="4"/>
    <n v="1"/>
    <n v="7"/>
    <n v="18"/>
    <n v="2"/>
    <n v="9.6666666666666661"/>
    <s v="Reprovado"/>
    <s v="Piorou (-16 valores, -88,9%)"/>
    <s v="MP"/>
    <n v="3"/>
  </r>
  <r>
    <n v="110347"/>
    <x v="60"/>
    <s v="gabriela.b.ribeiro@ua.pt"/>
    <n v="8314"/>
    <s v="TP1"/>
    <s v="P9"/>
    <s v="O "/>
    <n v="12"/>
    <n v="2"/>
    <n v="3"/>
    <n v="1"/>
    <n v="1"/>
    <n v="8"/>
    <n v="15"/>
    <n v="2"/>
    <n v="9.6666666666666661"/>
    <s v="Reprovado"/>
    <s v="Piorou (-13 valores, -86,7%)"/>
    <s v="MP"/>
    <n v="3"/>
  </r>
  <r>
    <n v="109373"/>
    <x v="61"/>
    <s v="alexandre.vieira.santos@ua.pt"/>
    <n v="8314"/>
    <s v="TP1"/>
    <s v="P9"/>
    <s v="O "/>
    <n v="17"/>
    <n v="3"/>
    <n v="1"/>
    <n v="4"/>
    <n v="2"/>
    <n v="1"/>
    <n v="11"/>
    <n v="2"/>
    <n v="10"/>
    <s v="Aprovado"/>
    <s v="Piorou (-9 valores, -81,8%)"/>
    <m/>
    <s v="—"/>
  </r>
  <r>
    <n v="103203"/>
    <x v="62"/>
    <s v="rui.silva5@ua.pt"/>
    <n v="8295"/>
    <s v="TP1"/>
    <s v="P5"/>
    <s v="O "/>
    <n v="18"/>
    <n v="2"/>
    <n v="5"/>
    <n v="2"/>
    <n v="4"/>
    <n v="4"/>
    <n v="17"/>
    <n v="2"/>
    <n v="12.333333333333334"/>
    <s v="Aprovado"/>
    <s v="Piorou (-15 valores, -88,2%)"/>
    <m/>
    <s v="—"/>
  </r>
  <r>
    <n v="107335"/>
    <x v="63"/>
    <s v="rodrigoafc@ua.pt"/>
    <n v="8314"/>
    <s v="TP2"/>
    <s v="P3"/>
    <s v="O "/>
    <n v="18"/>
    <n v="4"/>
    <n v="1"/>
    <n v="1"/>
    <n v="6"/>
    <n v="1"/>
    <n v="13"/>
    <n v="2"/>
    <n v="11"/>
    <s v="Aprovado"/>
    <s v="Piorou (-11 valores, -84,6%)"/>
    <m/>
    <s v="—"/>
  </r>
  <r>
    <n v="93345"/>
    <x v="64"/>
    <s v="beatrizdsgmoreira@ua.pt"/>
    <n v="8250"/>
    <s v="TP2"/>
    <s v="P3"/>
    <s v="O "/>
    <n v="16"/>
    <n v="7"/>
    <n v="5"/>
    <n v="3"/>
    <n v="1"/>
    <n v="2"/>
    <n v="18"/>
    <n v="2"/>
    <n v="12"/>
    <s v="Aprovado"/>
    <s v="Piorou (-16 valores, -88,9%)"/>
    <m/>
    <s v="—"/>
  </r>
  <r>
    <n v="103409"/>
    <x v="65"/>
    <s v="beneditar@ua.pt"/>
    <n v="8307"/>
    <s v="TP1"/>
    <s v="P5"/>
    <s v="O "/>
    <n v="9"/>
    <n v="2"/>
    <n v="3"/>
    <n v="3"/>
    <n v="1"/>
    <n v="3"/>
    <n v="12"/>
    <n v="2"/>
    <n v="7.666666666666667"/>
    <s v="Reprovado"/>
    <s v="Piorou (-10 valores, -83,3%)"/>
    <s v="MP"/>
    <n v="9"/>
  </r>
  <r>
    <n v="108105"/>
    <x v="66"/>
    <s v="luismachado03@ua.pt"/>
    <n v="8314"/>
    <s v="TP1"/>
    <s v="P5"/>
    <s v="O "/>
    <n v="9"/>
    <n v="3"/>
    <n v="3"/>
    <n v="8"/>
    <n v="3"/>
    <n v="2"/>
    <n v="19"/>
    <n v="2"/>
    <n v="10"/>
    <s v="Aprovado"/>
    <s v="Piorou (-17 valores, -89,5%)"/>
    <m/>
    <s v="—"/>
  </r>
  <r>
    <n v="107848"/>
    <x v="67"/>
    <s v="carolinamaximocorreia@ua.pt"/>
    <n v="8314"/>
    <s v="TP1"/>
    <s v="P5"/>
    <s v="O "/>
    <n v="15"/>
    <n v="2"/>
    <n v="1"/>
    <n v="7"/>
    <n v="3"/>
    <n v="2"/>
    <n v="15"/>
    <n v="2"/>
    <n v="10.666666666666666"/>
    <s v="Aprovado"/>
    <s v="Piorou (-13 valores, -86,7%)"/>
    <m/>
    <s v="—"/>
  </r>
  <r>
    <n v="107318"/>
    <x v="68"/>
    <s v="franciscotavares@ua.pt"/>
    <n v="8314"/>
    <s v="TP2"/>
    <s v="P3"/>
    <s v="O "/>
    <n v="17"/>
    <n v="1"/>
    <n v="1"/>
    <n v="1"/>
    <n v="2"/>
    <n v="4"/>
    <n v="9"/>
    <n v="2"/>
    <n v="9.3333333333333339"/>
    <s v="Reprovado"/>
    <s v="Piorou (-7 valores, -77,8%)"/>
    <s v="MP"/>
    <n v="4"/>
  </r>
  <r>
    <n v="107611"/>
    <x v="69"/>
    <s v="joao.tferreira@ua.pt"/>
    <n v="8314"/>
    <s v="TP2"/>
    <s v="P3"/>
    <s v="O "/>
    <n v="17"/>
    <n v="2"/>
    <n v="1"/>
    <n v="3"/>
    <n v="4"/>
    <n v="8"/>
    <n v="18"/>
    <n v="2"/>
    <n v="12.333333333333334"/>
    <s v="Aprovado"/>
    <s v="Piorou (-16 valores, -88,9%)"/>
    <m/>
    <s v="—"/>
  </r>
  <r>
    <n v="108845"/>
    <x v="70"/>
    <s v="sofia.r.p.m@ua.pt"/>
    <n v="8314"/>
    <s v="TP1"/>
    <s v="P5"/>
    <s v="O "/>
    <n v="11"/>
    <n v="2"/>
    <n v="1"/>
    <n v="1"/>
    <n v="5"/>
    <n v="1"/>
    <n v="10"/>
    <n v="2"/>
    <n v="7.666666666666667"/>
    <s v="Reprovado"/>
    <s v="Piorou (-8 valores, -80%)"/>
    <s v="MP"/>
    <n v="9"/>
  </r>
  <r>
    <n v="108098"/>
    <x v="71"/>
    <s v="filipesambento@ua.pt"/>
    <n v="8314"/>
    <s v="TP1"/>
    <s v="P5"/>
    <s v="O "/>
    <n v="14"/>
    <n v="2"/>
    <n v="2"/>
    <n v="2"/>
    <n v="1"/>
    <n v="9"/>
    <n v="16"/>
    <n v="2"/>
    <n v="10.666666666666666"/>
    <s v="Aprovado"/>
    <s v="Piorou (-14 valores, -87,5%)"/>
    <m/>
    <s v="—"/>
  </r>
  <r>
    <n v="108723"/>
    <x v="72"/>
    <s v="carlos.f.f.afonso@ua.pt"/>
    <n v="8313"/>
    <s v="TP2"/>
    <s v="P3"/>
    <s v="O "/>
    <n v="15"/>
    <n v="1"/>
    <n v="1"/>
    <n v="3"/>
    <n v="6"/>
    <n v="3"/>
    <n v="14"/>
    <n v="2"/>
    <n v="10.333333333333334"/>
    <s v="Aprovado"/>
    <s v="Piorou (-12 valores, -85,7%)"/>
    <m/>
    <s v="—"/>
  </r>
  <r>
    <n v="103757"/>
    <x v="73"/>
    <s v="barbaraoliveira02@ua.pt"/>
    <n v="8307"/>
    <s v="TP1"/>
    <s v="P5"/>
    <s v="O "/>
    <n v="10"/>
    <n v="3"/>
    <n v="5"/>
    <n v="2"/>
    <n v="1"/>
    <n v="1"/>
    <n v="12"/>
    <n v="2"/>
    <n v="8"/>
    <s v="Reprovado"/>
    <s v="Piorou (-10 valores, -83,3%)"/>
    <s v="MP"/>
    <n v="8"/>
  </r>
  <r>
    <n v="107396"/>
    <x v="74"/>
    <s v="rita.alberto@ua.pt"/>
    <n v="8314"/>
    <s v="TP1"/>
    <s v="P5"/>
    <s v="O "/>
    <n v="8"/>
    <n v="2"/>
    <n v="3"/>
    <n v="2"/>
    <n v="2"/>
    <n v="1"/>
    <n v="10"/>
    <n v="2"/>
    <n v="6.666666666666667"/>
    <s v="Reprovado"/>
    <s v="Piorou (-8 valores, -80%)"/>
    <s v="MP"/>
    <n v="12"/>
  </r>
  <r>
    <n v="108675"/>
    <x v="75"/>
    <s v="claudia.magalhaes@ua.pt"/>
    <n v="8314"/>
    <s v="TP1"/>
    <s v="P5"/>
    <s v="O "/>
    <n v="11"/>
    <n v="3"/>
    <n v="3"/>
    <n v="2"/>
    <n v="1"/>
    <n v="2"/>
    <n v="11"/>
    <n v="2"/>
    <n v="8"/>
    <s v="Reprovado"/>
    <s v="Piorou (-9 valores, -81,8%)"/>
    <s v="MP"/>
    <n v="8"/>
  </r>
  <r>
    <n v="107584"/>
    <x v="76"/>
    <s v="beatrizparentepinto03@ua.pt"/>
    <n v="8314"/>
    <s v="TP2"/>
    <s v="P3"/>
    <s v="O "/>
    <n v="13"/>
    <n v="2"/>
    <n v="2"/>
    <n v="4"/>
    <n v="1"/>
    <n v="3"/>
    <n v="12"/>
    <n v="2"/>
    <n v="9"/>
    <s v="Reprovado"/>
    <s v="Piorou (-10 valores, -83,3%)"/>
    <s v="MP"/>
    <n v="5"/>
  </r>
  <r>
    <n v="108329"/>
    <x v="77"/>
    <s v="carolina.cardoso@ua.pt"/>
    <n v="8314"/>
    <s v="TP2"/>
    <s v="P2"/>
    <s v="O "/>
    <n v="17"/>
    <n v="2"/>
    <n v="1"/>
    <n v="4"/>
    <n v="2"/>
    <n v="1"/>
    <n v="10"/>
    <n v="2"/>
    <n v="9.6666666666666661"/>
    <s v="Reprovado"/>
    <s v="Piorou (-8 valores, -80%)"/>
    <s v="MP"/>
    <n v="3"/>
  </r>
  <r>
    <n v="107874"/>
    <x v="78"/>
    <s v="rita.crvieira@ua.pt"/>
    <n v="8314"/>
    <s v="TP1"/>
    <s v="P5"/>
    <s v="O "/>
    <n v="18"/>
    <n v="2"/>
    <n v="1"/>
    <n v="2"/>
    <n v="3"/>
    <n v="2"/>
    <n v="10"/>
    <n v="2"/>
    <n v="10"/>
    <s v="Aprovado"/>
    <s v="Piorou (-8 valores, -80%)"/>
    <m/>
    <s v="—"/>
  </r>
  <r>
    <n v="107517"/>
    <x v="79"/>
    <s v="adrianaoliveira@ua.pt"/>
    <n v="8314"/>
    <s v="TP1"/>
    <s v="P5"/>
    <s v="O "/>
    <n v="12"/>
    <n v="8"/>
    <n v="2"/>
    <n v="1"/>
    <n v="1"/>
    <n v="2"/>
    <n v="14"/>
    <n v="2"/>
    <n v="9.3333333333333339"/>
    <s v="Reprovado"/>
    <s v="Piorou (-12 valores, -85,7%)"/>
    <s v="MP"/>
    <n v="4"/>
  </r>
  <r>
    <n v="108513"/>
    <x v="80"/>
    <s v="beatrizcoelho@ua.pt"/>
    <n v="8314"/>
    <s v="TP2"/>
    <s v="P3"/>
    <s v="O "/>
    <n v="12"/>
    <n v="1"/>
    <n v="1"/>
    <n v="7"/>
    <n v="1"/>
    <n v="6"/>
    <n v="16"/>
    <n v="2"/>
    <n v="10"/>
    <s v="Aprovado"/>
    <s v="Piorou (-14 valores, -87,5%)"/>
    <m/>
    <s v="—"/>
  </r>
  <r>
    <n v="104342"/>
    <x v="81"/>
    <s v="bernardoye@ua.pt"/>
    <n v="8307"/>
    <s v="TP1"/>
    <s v="P5"/>
    <s v="O "/>
    <n v="14"/>
    <n v="2"/>
    <n v="1"/>
    <n v="8"/>
    <n v="2"/>
    <n v="3"/>
    <n v="16"/>
    <n v="2"/>
    <n v="10.666666666666666"/>
    <s v="Aprovado"/>
    <s v="Piorou (-14 valores, -87,5%)"/>
    <m/>
    <s v="—"/>
  </r>
  <r>
    <n v="108752"/>
    <x v="82"/>
    <s v="pedromgmartins@ua.pt"/>
    <n v="8314"/>
    <s v="TP1"/>
    <s v="P5"/>
    <s v="O "/>
    <n v="12"/>
    <n v="8"/>
    <n v="1"/>
    <n v="2"/>
    <n v="3"/>
    <n v="2"/>
    <n v="16"/>
    <n v="2"/>
    <n v="10"/>
    <s v="Aprovado"/>
    <s v="Piorou (-14 valores, -87,5%)"/>
    <m/>
    <s v="—"/>
  </r>
  <r>
    <n v="103712"/>
    <x v="83"/>
    <s v="marianafpinto@ua.pt"/>
    <n v="8264"/>
    <s v="TP1"/>
    <s v="P5"/>
    <s v="O "/>
    <n v="12"/>
    <n v="6"/>
    <n v="3"/>
    <n v="2"/>
    <n v="1"/>
    <n v="2"/>
    <n v="14"/>
    <n v="2"/>
    <n v="9.3333333333333339"/>
    <s v="Reprovado"/>
    <s v="Piorou (-12 valores, -85,7%)"/>
    <s v="MP"/>
    <n v="4"/>
  </r>
  <r>
    <n v="108849"/>
    <x v="84"/>
    <s v="miguelmexedo03@ua.pt"/>
    <n v="8314"/>
    <s v="TP1"/>
    <s v="P5"/>
    <s v="TP"/>
    <n v="11"/>
    <n v="1"/>
    <n v="1"/>
    <n v="2"/>
    <n v="2"/>
    <n v="4"/>
    <n v="10"/>
    <n v="2"/>
    <n v="7.666666666666667"/>
    <s v="Reprovado"/>
    <s v="Piorou (-8 valores, -80%)"/>
    <s v="MP"/>
    <n v="9"/>
  </r>
  <r>
    <n v="108868"/>
    <x v="85"/>
    <s v="xavier.pinto@ua.pt"/>
    <n v="8314"/>
    <s v="TP1"/>
    <s v="P6"/>
    <s v="O "/>
    <n v="12"/>
    <n v="2"/>
    <n v="2"/>
    <n v="1"/>
    <n v="11"/>
    <n v="1"/>
    <n v="17"/>
    <n v="2"/>
    <n v="10.333333333333334"/>
    <s v="Aprovado"/>
    <s v="Piorou (-15 valores, -88,2%)"/>
    <m/>
    <s v="—"/>
  </r>
  <r>
    <n v="102380"/>
    <x v="86"/>
    <s v="maria.sa@ua.pt"/>
    <n v="8220"/>
    <s v="TP1"/>
    <s v="P6"/>
    <s v="O "/>
    <n v="12"/>
    <n v="2"/>
    <n v="2"/>
    <n v="1"/>
    <n v="3"/>
    <n v="1"/>
    <n v="9"/>
    <n v="2"/>
    <n v="7.666666666666667"/>
    <s v="Reprovado"/>
    <s v="Piorou (-7 valores, -77,8%)"/>
    <s v="MP"/>
    <n v="9"/>
  </r>
  <r>
    <n v="107265"/>
    <x v="87"/>
    <s v="hapm@ua.pt"/>
    <n v="8314"/>
    <s v="TP1"/>
    <s v="P6"/>
    <s v="O "/>
    <n v="16"/>
    <n v="4"/>
    <n v="4"/>
    <n v="2"/>
    <n v="2"/>
    <n v="7"/>
    <n v="19"/>
    <n v="2"/>
    <n v="12.333333333333334"/>
    <s v="Aprovado"/>
    <s v="Piorou (-17 valores, -89,5%)"/>
    <m/>
    <s v="—"/>
  </r>
  <r>
    <n v="108280"/>
    <x v="88"/>
    <s v="picoto.francisco@ua.pt"/>
    <n v="8314"/>
    <s v="TP2"/>
    <s v="P3"/>
    <s v="O "/>
    <n v="12"/>
    <n v="1"/>
    <n v="1"/>
    <n v="4"/>
    <n v="1"/>
    <n v="3"/>
    <n v="10"/>
    <n v="2"/>
    <n v="8"/>
    <s v="Reprovado"/>
    <s v="Piorou (-8 valores, -80%)"/>
    <s v="MP"/>
    <n v="8"/>
  </r>
  <r>
    <n v="97610"/>
    <x v="89"/>
    <s v="pedro.murteira@ua.pt"/>
    <n v="8307"/>
    <s v="TP1"/>
    <s v="P6"/>
    <s v="O "/>
    <n v="11"/>
    <n v="3"/>
    <n v="1"/>
    <n v="8"/>
    <n v="2"/>
    <n v="2"/>
    <n v="16"/>
    <n v="2"/>
    <n v="9.6666666666666661"/>
    <s v="Reprovado"/>
    <s v="Piorou (-14 valores, -87,5%)"/>
    <s v="MP"/>
    <n v="3"/>
  </r>
  <r>
    <n v="93316"/>
    <x v="90"/>
    <s v="dassalmeida@ua.pt"/>
    <n v="8258"/>
    <s v="TP2"/>
    <s v="P3"/>
    <s v="O "/>
    <n v="18"/>
    <n v="2"/>
    <n v="6"/>
    <n v="4"/>
    <n v="4"/>
    <n v="1"/>
    <n v="17"/>
    <n v="2"/>
    <n v="12.333333333333334"/>
    <s v="Aprovado"/>
    <s v="Piorou (-15 valores, -88,2%)"/>
    <m/>
    <s v="—"/>
  </r>
  <r>
    <n v="110331"/>
    <x v="91"/>
    <s v="fmiguelesperanca@ua.pt"/>
    <n v="8220"/>
    <s v="TP1"/>
    <s v="P6"/>
    <s v="O "/>
    <n v="15"/>
    <n v="3"/>
    <n v="2"/>
    <n v="5"/>
    <n v="7"/>
    <n v="1"/>
    <n v="18"/>
    <n v="2"/>
    <n v="11.666666666666666"/>
    <s v="Aprovado"/>
    <s v="Piorou (-16 valores, -88,9%)"/>
    <m/>
    <s v="—"/>
  </r>
  <r>
    <n v="104807"/>
    <x v="92"/>
    <s v="tquintas@ua.pt"/>
    <n v="9179"/>
    <s v="TP1"/>
    <s v="P6"/>
    <s v="O "/>
    <n v="13"/>
    <n v="4"/>
    <n v="2"/>
    <n v="3"/>
    <n v="2"/>
    <n v="3"/>
    <n v="14"/>
    <n v="2"/>
    <n v="9.6666666666666661"/>
    <s v="Reprovado"/>
    <s v="Piorou (-12 valores, -85,7%)"/>
    <s v="MP"/>
    <n v="3"/>
  </r>
  <r>
    <n v="108679"/>
    <x v="93"/>
    <s v="pedromgf@ua.pt"/>
    <n v="8220"/>
    <s v="TP1"/>
    <s v="P6"/>
    <s v="O "/>
    <n v="13"/>
    <n v="1"/>
    <n v="1"/>
    <n v="4"/>
    <n v="5"/>
    <n v="3"/>
    <n v="14"/>
    <n v="2"/>
    <n v="9.6666666666666661"/>
    <s v="Reprovado"/>
    <s v="Piorou (-12 valores, -85,7%)"/>
    <s v="MP"/>
    <n v="3"/>
  </r>
  <r>
    <n v="103028"/>
    <x v="94"/>
    <s v="pmiguelsilvamendes@ua.pt"/>
    <n v="8240"/>
    <s v="TP1"/>
    <s v="P6"/>
    <s v="O "/>
    <n v="8"/>
    <n v="3"/>
    <n v="2"/>
    <n v="2"/>
    <n v="1"/>
    <n v="4"/>
    <n v="12"/>
    <n v="2"/>
    <n v="7.333333333333333"/>
    <s v="Reprovado"/>
    <s v="Piorou (-10 valores, -83,3%)"/>
    <s v="MP"/>
    <n v="10"/>
  </r>
  <r>
    <n v="105114"/>
    <x v="95"/>
    <s v="san.santos@ua.pt"/>
    <n v="8220"/>
    <s v="TP1"/>
    <s v="P6"/>
    <s v="O "/>
    <n v="9"/>
    <n v="1"/>
    <n v="2"/>
    <n v="1"/>
    <n v="2"/>
    <n v="2"/>
    <n v="8"/>
    <n v="2"/>
    <n v="6.333333333333333"/>
    <s v="Reprovado"/>
    <s v="Piorou (-6 valores, -75%)"/>
    <s v="MP"/>
    <n v="13"/>
  </r>
  <r>
    <n v="108800"/>
    <x v="96"/>
    <s v="ferreira.carol@ua.pt"/>
    <n v="8305"/>
    <s v="TP1"/>
    <s v="P6"/>
    <s v="O "/>
    <n v="13"/>
    <n v="5"/>
    <n v="5"/>
    <n v="1"/>
    <n v="1"/>
    <n v="7"/>
    <n v="19"/>
    <n v="2"/>
    <n v="11.333333333333334"/>
    <s v="Aprovado"/>
    <s v="Piorou (-17 valores, -89,5%)"/>
    <m/>
    <s v="—"/>
  </r>
  <r>
    <n v="108050"/>
    <x v="97"/>
    <s v="mariana.pribeiro@ua.pt"/>
    <n v="8220"/>
    <s v="TP1"/>
    <s v="P6"/>
    <s v="O "/>
    <n v="17"/>
    <n v="4"/>
    <n v="1"/>
    <n v="1"/>
    <n v="1"/>
    <n v="2"/>
    <n v="9"/>
    <n v="2"/>
    <n v="9.3333333333333339"/>
    <s v="Reprovado"/>
    <s v="Piorou (-7 valores, -77,8%)"/>
    <s v="MP"/>
    <n v="4"/>
  </r>
  <r>
    <n v="105491"/>
    <x v="98"/>
    <s v="joanafaria@ua.pt"/>
    <n v="8220"/>
    <s v="TP1"/>
    <s v="P6"/>
    <s v="O "/>
    <n v="11"/>
    <n v="3"/>
    <n v="2"/>
    <n v="1"/>
    <n v="2"/>
    <n v="1"/>
    <n v="9"/>
    <n v="2"/>
    <n v="7.333333333333333"/>
    <s v="Reprovado"/>
    <s v="Piorou (-7 valores, -77,8%)"/>
    <s v="MP"/>
    <n v="10"/>
  </r>
  <r>
    <n v="102976"/>
    <x v="99"/>
    <s v="jessi.costa@ua.pt"/>
    <n v="8220"/>
    <s v="TP1"/>
    <s v="P6"/>
    <s v="O "/>
    <n v="8"/>
    <n v="8"/>
    <n v="2"/>
    <n v="2"/>
    <n v="2"/>
    <n v="1"/>
    <n v="15"/>
    <n v="2"/>
    <n v="8.3333333333333339"/>
    <s v="Reprovado"/>
    <s v="Piorou (-13 valores, -86,7%)"/>
    <s v="MP"/>
    <n v="7"/>
  </r>
  <r>
    <n v="108826"/>
    <x v="100"/>
    <s v="jcnunes@ua.pt"/>
    <n v="8220"/>
    <s v="TP1"/>
    <s v="P6"/>
    <s v="O "/>
    <n v="13"/>
    <n v="4"/>
    <n v="1"/>
    <n v="1"/>
    <n v="1"/>
    <n v="1"/>
    <n v="8"/>
    <n v="2"/>
    <n v="7.666666666666667"/>
    <s v="Reprovado"/>
    <s v="Piorou (-6 valores, -75%)"/>
    <s v="MP"/>
    <n v="9"/>
  </r>
  <r>
    <n v="108436"/>
    <x v="101"/>
    <s v="ines.filipe@ua.pt"/>
    <n v="8220"/>
    <s v="TP1"/>
    <s v="P6"/>
    <s v="O "/>
    <n v="8"/>
    <n v="6"/>
    <n v="1"/>
    <n v="3"/>
    <n v="1"/>
    <n v="1"/>
    <n v="12"/>
    <n v="2"/>
    <n v="7.333333333333333"/>
    <s v="Reprovado"/>
    <s v="Piorou (-10 valores, -83,3%)"/>
    <s v="MP"/>
    <n v="10"/>
  </r>
  <r>
    <n v="107233"/>
    <x v="102"/>
    <s v="diogo.barata@ua.pt"/>
    <n v="8220"/>
    <s v="TP1"/>
    <s v="P7"/>
    <s v="O "/>
    <n v="9"/>
    <n v="1"/>
    <n v="3"/>
    <n v="1"/>
    <n v="2"/>
    <n v="8"/>
    <n v="15"/>
    <n v="2"/>
    <n v="8.6666666666666661"/>
    <s v="Reprovado"/>
    <s v="Piorou (-13 valores, -86,7%)"/>
    <s v="MP"/>
    <n v="6"/>
  </r>
  <r>
    <n v="103167"/>
    <x v="103"/>
    <s v="raquelrpinto@ua.pt"/>
    <n v="8220"/>
    <s v="TP1"/>
    <s v="P7"/>
    <s v="O "/>
    <n v="10"/>
    <n v="6"/>
    <n v="1"/>
    <n v="1"/>
    <n v="2"/>
    <n v="1"/>
    <n v="11"/>
    <n v="2"/>
    <n v="7.666666666666667"/>
    <s v="Reprovado"/>
    <s v="Piorou (-9 valores, -81,8%)"/>
    <s v="MP"/>
    <n v="9"/>
  </r>
  <r>
    <n v="108760"/>
    <x v="104"/>
    <s v="juliagoulart@ua.pt"/>
    <n v="8220"/>
    <s v="TP2"/>
    <s v="P3"/>
    <s v="O "/>
    <n v="12"/>
    <n v="1"/>
    <n v="1"/>
    <n v="3"/>
    <n v="1"/>
    <n v="1"/>
    <n v="7"/>
    <n v="2"/>
    <n v="7"/>
    <s v="Reprovado"/>
    <s v="Piorou (-5 valores, -71,4%)"/>
    <s v="MP"/>
    <n v="11"/>
  </r>
  <r>
    <n v="103326"/>
    <x v="105"/>
    <s v="renataalves@ua.pt"/>
    <n v="8220"/>
    <s v="TP2"/>
    <s v="P3"/>
    <s v="O "/>
    <n v="10"/>
    <n v="3"/>
    <n v="2"/>
    <n v="3"/>
    <n v="8"/>
    <n v="2"/>
    <n v="18"/>
    <n v="2"/>
    <n v="10"/>
    <s v="Aprovado"/>
    <s v="Piorou (-16 valores, -88,9%)"/>
    <m/>
    <s v="—"/>
  </r>
  <r>
    <n v="109152"/>
    <x v="106"/>
    <s v="irisfonseca@ua.pt"/>
    <n v="8220"/>
    <s v="TP1"/>
    <s v="P7"/>
    <s v="O "/>
    <n v="8"/>
    <n v="1"/>
    <n v="2"/>
    <n v="2"/>
    <n v="3"/>
    <n v="1"/>
    <n v="9"/>
    <n v="2"/>
    <n v="6.333333333333333"/>
    <s v="Reprovado"/>
    <s v="Piorou (-7 valores, -77,8%)"/>
    <s v="MP"/>
    <n v="13"/>
  </r>
  <r>
    <n v="107895"/>
    <x v="107"/>
    <s v="joaomorais9@ua.pt"/>
    <n v="8220"/>
    <s v="TP2"/>
    <s v="P2"/>
    <s v="O "/>
    <n v="11"/>
    <n v="1"/>
    <n v="1"/>
    <n v="2"/>
    <n v="3"/>
    <n v="5"/>
    <n v="12"/>
    <n v="2"/>
    <n v="8.3333333333333339"/>
    <s v="Reprovado"/>
    <s v="Piorou (-10 valores, -83,3%)"/>
    <s v="MP"/>
    <n v="7"/>
  </r>
  <r>
    <n v="107267"/>
    <x v="108"/>
    <s v="rlgn@ua.pt"/>
    <n v="8220"/>
    <s v="TP1"/>
    <s v="P7"/>
    <s v="O "/>
    <n v="10"/>
    <n v="4"/>
    <n v="1"/>
    <n v="4"/>
    <n v="1"/>
    <n v="2"/>
    <n v="12"/>
    <n v="2"/>
    <n v="8"/>
    <s v="Reprovado"/>
    <s v="Piorou (-10 valores, -83,3%)"/>
    <s v="MP"/>
    <n v="8"/>
  </r>
  <r>
    <n v="103309"/>
    <x v="109"/>
    <s v="juliana.ac@ua.pt"/>
    <n v="8220"/>
    <s v="TP2"/>
    <s v="P2"/>
    <s v="O "/>
    <n v="18"/>
    <n v="1"/>
    <n v="1"/>
    <n v="2"/>
    <n v="1"/>
    <n v="2"/>
    <n v="7"/>
    <n v="2"/>
    <n v="9"/>
    <s v="Reprovado"/>
    <s v="Piorou (-5 valores, -71,4%)"/>
    <s v="MP"/>
    <n v="5"/>
  </r>
  <r>
    <n v="99440"/>
    <x v="110"/>
    <s v="martaduarteluzes@ua.pt"/>
    <n v="8220"/>
    <s v="TP1"/>
    <s v="P7"/>
    <s v="O "/>
    <n v="8"/>
    <n v="1"/>
    <n v="2"/>
    <n v="1"/>
    <n v="1"/>
    <n v="10"/>
    <n v="15"/>
    <n v="2"/>
    <n v="8.3333333333333339"/>
    <s v="Reprovado"/>
    <s v="Piorou (-13 valores, -86,7%)"/>
    <s v="MP"/>
    <n v="7"/>
  </r>
  <r>
    <n v="93274"/>
    <x v="111"/>
    <s v="diogocardoso99@ua.pt"/>
    <n v="8258"/>
    <s v="TP1"/>
    <s v="P7"/>
    <s v="O "/>
    <n v="15"/>
    <n v="2"/>
    <n v="1"/>
    <n v="2"/>
    <n v="1"/>
    <n v="2"/>
    <n v="8"/>
    <n v="2"/>
    <n v="8.3333333333333339"/>
    <s v="Reprovado"/>
    <s v="Piorou (-6 valores, -75%)"/>
    <s v="MP"/>
    <n v="7"/>
  </r>
  <r>
    <n v="102859"/>
    <x v="112"/>
    <s v="vasco.lopes@ua.pt"/>
    <n v="8220"/>
    <s v="TP1"/>
    <s v="P7"/>
    <s v="O "/>
    <n v="13"/>
    <n v="1"/>
    <n v="2"/>
    <n v="2"/>
    <n v="1"/>
    <n v="2"/>
    <n v="8"/>
    <n v="2"/>
    <n v="7.666666666666667"/>
    <s v="Reprovado"/>
    <s v="Piorou (-6 valores, -75%)"/>
    <s v="MP"/>
    <n v="9"/>
  </r>
  <r>
    <n v="104088"/>
    <x v="113"/>
    <s v="leniaferreira01@ua.pt"/>
    <n v="8220"/>
    <s v="TP1"/>
    <s v="P7"/>
    <s v="O "/>
    <n v="17"/>
    <n v="2"/>
    <n v="1"/>
    <n v="1"/>
    <n v="1"/>
    <n v="2"/>
    <n v="7"/>
    <n v="2"/>
    <n v="8.6666666666666661"/>
    <s v="Reprovado"/>
    <s v="Piorou (-5 valores, -71,4%)"/>
    <s v="MP"/>
    <n v="6"/>
  </r>
  <r>
    <n v="102633"/>
    <x v="114"/>
    <s v="anafdlima@ua.pt"/>
    <n v="8220"/>
    <s v="TP2"/>
    <s v="P3"/>
    <s v="O "/>
    <n v="8"/>
    <n v="1"/>
    <n v="1"/>
    <n v="2"/>
    <n v="3"/>
    <n v="3"/>
    <n v="10"/>
    <n v="2"/>
    <n v="6.666666666666667"/>
    <s v="Reprovado"/>
    <s v="Piorou (-8 valores, -80%)"/>
    <s v="MP"/>
    <n v="12"/>
  </r>
  <r>
    <n v="108159"/>
    <x v="115"/>
    <s v="ana.b.batista@ua.pt"/>
    <n v="8220"/>
    <s v="TP1"/>
    <s v="P7"/>
    <s v="O "/>
    <n v="18"/>
    <n v="7"/>
    <n v="1"/>
    <n v="2"/>
    <n v="4"/>
    <n v="1"/>
    <n v="15"/>
    <n v="2"/>
    <n v="11.666666666666666"/>
    <s v="Aprovado"/>
    <s v="Piorou (-13 valores, -86,7%)"/>
    <m/>
    <s v="—"/>
  </r>
  <r>
    <n v="108461"/>
    <x v="116"/>
    <s v="alex.almeida@ua.pt"/>
    <n v="8220"/>
    <s v="TP2"/>
    <s v="P3"/>
    <s v="O "/>
    <n v="10"/>
    <n v="3"/>
    <n v="7"/>
    <n v="1"/>
    <n v="1"/>
    <n v="6"/>
    <n v="18"/>
    <n v="2"/>
    <n v="10"/>
    <s v="Aprovado"/>
    <s v="Piorou (-16 valores, -88,9%)"/>
    <m/>
    <s v="—"/>
  </r>
  <r>
    <n v="107635"/>
    <x v="117"/>
    <s v="anmargaridaa@ua.pt"/>
    <n v="8220"/>
    <s v="TP2"/>
    <s v="P3"/>
    <s v="O "/>
    <n v="18"/>
    <n v="4"/>
    <n v="5"/>
    <n v="1"/>
    <n v="3"/>
    <n v="2"/>
    <n v="15"/>
    <n v="2"/>
    <n v="11.666666666666666"/>
    <s v="Aprovado"/>
    <s v="Piorou (-13 valores, -86,7%)"/>
    <m/>
    <s v="—"/>
  </r>
  <r>
    <n v="102716"/>
    <x v="118"/>
    <s v="marianatferreira@ua.pt"/>
    <n v="8220"/>
    <s v="TP1"/>
    <s v="P7"/>
    <s v="O "/>
    <n v="15"/>
    <n v="1"/>
    <n v="1"/>
    <n v="3"/>
    <n v="2"/>
    <n v="4"/>
    <n v="11"/>
    <n v="2"/>
    <n v="9.3333333333333339"/>
    <s v="Reprovado"/>
    <s v="Piorou (-9 valores, -81,8%)"/>
    <s v="MP"/>
    <n v="4"/>
  </r>
  <r>
    <n v="107347"/>
    <x v="119"/>
    <s v="leonor.nog@ua.pt"/>
    <n v="8220"/>
    <s v="TP2"/>
    <s v="P3"/>
    <s v="O "/>
    <n v="10"/>
    <n v="1"/>
    <n v="1"/>
    <n v="4"/>
    <n v="3"/>
    <n v="2"/>
    <n v="11"/>
    <n v="2"/>
    <n v="7.666666666666667"/>
    <s v="Reprovado"/>
    <s v="Piorou (-9 valores, -81,8%)"/>
    <s v="MP"/>
    <n v="9"/>
  </r>
  <r>
    <n v="110409"/>
    <x v="120"/>
    <s v="daniela.fil@ua.pt"/>
    <n v="8220"/>
    <s v="TP2"/>
    <s v="P1a"/>
    <s v="O "/>
    <n v="17"/>
    <n v="1"/>
    <n v="1"/>
    <n v="1"/>
    <n v="1"/>
    <n v="3"/>
    <n v="7"/>
    <n v="2"/>
    <n v="8.6666666666666661"/>
    <s v="Reprovado"/>
    <s v="Piorou (-5 valores, -71,4%)"/>
    <s v="MP"/>
    <n v="6"/>
  </r>
  <r>
    <n v="108540"/>
    <x v="121"/>
    <s v="paulaccosta@ua.pt"/>
    <n v="8220"/>
    <s v="TP2"/>
    <s v="P1a"/>
    <s v="O "/>
    <n v="10"/>
    <n v="6"/>
    <n v="2"/>
    <n v="2"/>
    <n v="2"/>
    <n v="4"/>
    <n v="16"/>
    <n v="2"/>
    <n v="9.3333333333333339"/>
    <s v="Reprovado"/>
    <s v="Piorou (-14 valores, -87,5%)"/>
    <s v="MP"/>
    <n v="4"/>
  </r>
  <r>
    <n v="103112"/>
    <x v="122"/>
    <s v="marga.oliveira@ua.pt"/>
    <n v="8220"/>
    <s v="TP2"/>
    <s v="P2"/>
    <s v="O "/>
    <n v="11"/>
    <n v="3"/>
    <n v="4"/>
    <n v="1"/>
    <n v="1"/>
    <n v="1"/>
    <n v="10"/>
    <n v="2"/>
    <n v="7.666666666666667"/>
    <s v="Reprovado"/>
    <s v="Piorou (-8 valores, -80%)"/>
    <s v="MP"/>
    <n v="9"/>
  </r>
  <r>
    <n v="111224"/>
    <x v="123"/>
    <s v="matteo.marrocco@ua.pt"/>
    <n v="1000"/>
    <s v="TP2"/>
    <s v="P1a"/>
    <s v="O "/>
    <n v="11"/>
    <n v="1"/>
    <n v="2"/>
    <n v="3"/>
    <n v="2"/>
    <n v="6"/>
    <n v="14"/>
    <n v="2"/>
    <n v="9"/>
    <s v="Reprovado"/>
    <s v="Piorou (-12 valores, -85,7%)"/>
    <s v="MP"/>
    <n v="5"/>
  </r>
  <r>
    <n v="102150"/>
    <x v="124"/>
    <s v="antonio.iglesias@ua.pt"/>
    <n v="8220"/>
    <s v="TP1"/>
    <s v="P8"/>
    <s v="O "/>
    <n v="10"/>
    <n v="1"/>
    <n v="2"/>
    <n v="6"/>
    <n v="3"/>
    <n v="7"/>
    <n v="19"/>
    <n v="2"/>
    <n v="10.333333333333334"/>
    <s v="Aprovado"/>
    <s v="Piorou (-17 valores, -89,5%)"/>
    <m/>
    <s v="—"/>
  </r>
  <r>
    <n v="107185"/>
    <x v="125"/>
    <s v="joao.afonso.salmeida@ua.pt"/>
    <n v="8220"/>
    <s v="TP2"/>
    <s v="P8"/>
    <s v="O "/>
    <n v="11"/>
    <n v="3"/>
    <n v="1"/>
    <n v="4"/>
    <n v="1"/>
    <n v="1"/>
    <n v="10"/>
    <n v="2"/>
    <n v="7.666666666666667"/>
    <s v="Reprovado"/>
    <s v="Piorou (-8 valores, -80%)"/>
    <s v="MP"/>
    <n v="9"/>
  </r>
  <r>
    <n v="104229"/>
    <x v="126"/>
    <s v="anaaida@ua.pt"/>
    <n v="8220"/>
    <s v="TP2"/>
    <s v="P8"/>
    <s v="O "/>
    <n v="12"/>
    <n v="3"/>
    <n v="1"/>
    <n v="1"/>
    <n v="3"/>
    <n v="1"/>
    <n v="9"/>
    <n v="2"/>
    <n v="7.666666666666667"/>
    <s v="Reprovado"/>
    <s v="Piorou (-7 valores, -77,8%)"/>
    <s v="MP"/>
    <n v="9"/>
  </r>
  <r>
    <n v="103235"/>
    <x v="127"/>
    <s v="berna.oliveira@ua.pt"/>
    <n v="8220"/>
    <s v="TP2"/>
    <s v="P1a"/>
    <s v="O "/>
    <n v="9"/>
    <n v="2"/>
    <n v="1"/>
    <n v="1"/>
    <n v="2"/>
    <n v="2"/>
    <n v="8"/>
    <n v="2"/>
    <n v="6.333333333333333"/>
    <s v="Reprovado"/>
    <s v="Piorou (-6 valores, -75%)"/>
    <s v="MP"/>
    <n v="13"/>
  </r>
  <r>
    <n v="110719"/>
    <x v="128"/>
    <s v="carol.melo@ua.pt"/>
    <n v="8220"/>
    <s v="TP1"/>
    <s v="P7"/>
    <s v="O "/>
    <n v="10"/>
    <n v="1"/>
    <n v="1"/>
    <n v="1"/>
    <n v="3"/>
    <n v="2"/>
    <n v="8"/>
    <n v="2"/>
    <n v="6.666666666666667"/>
    <s v="Reprovado"/>
    <s v="Piorou (-6 valores, -75%)"/>
    <s v="MP"/>
    <n v="12"/>
  </r>
  <r>
    <n v="102669"/>
    <x v="129"/>
    <s v="h.caldeira@ua.pt"/>
    <n v="8220"/>
    <s v="TP2"/>
    <s v="P1"/>
    <s v="O "/>
    <n v="17"/>
    <n v="3"/>
    <n v="1"/>
    <n v="2"/>
    <n v="1"/>
    <n v="2"/>
    <n v="9"/>
    <n v="2"/>
    <n v="9.3333333333333339"/>
    <s v="Reprovado"/>
    <s v="Piorou (-7 valores, -77,8%)"/>
    <s v="MP"/>
    <n v="4"/>
  </r>
  <r>
    <n v="108113"/>
    <x v="130"/>
    <s v="joana.gaspar@ua.pt"/>
    <n v="8220"/>
    <s v="TP1"/>
    <s v="P1a"/>
    <s v="O "/>
    <n v="18"/>
    <n v="2"/>
    <n v="3"/>
    <n v="1"/>
    <n v="1"/>
    <n v="1"/>
    <n v="8"/>
    <n v="2"/>
    <n v="9.3333333333333339"/>
    <s v="Reprovado"/>
    <s v="Piorou (-6 valores, -75%)"/>
    <s v="MP"/>
    <n v="4"/>
  </r>
  <r>
    <n v="108204"/>
    <x v="131"/>
    <s v="mar.ant@ua.pt"/>
    <n v="8220"/>
    <s v="TP2"/>
    <s v="P1a"/>
    <s v="O "/>
    <n v="9"/>
    <n v="1"/>
    <n v="5"/>
    <n v="2"/>
    <n v="1"/>
    <n v="2"/>
    <n v="11"/>
    <n v="2"/>
    <n v="7.333333333333333"/>
    <s v="Reprovado"/>
    <s v="Piorou (-9 valores, -81,8%)"/>
    <s v="MP"/>
    <n v="10"/>
  </r>
  <r>
    <n v="107356"/>
    <x v="132"/>
    <s v="raquelarraiolos@ua.pt"/>
    <n v="8220"/>
    <s v="TP2"/>
    <s v="P9"/>
    <s v="O "/>
    <n v="12"/>
    <n v="1"/>
    <n v="1"/>
    <n v="2"/>
    <n v="3"/>
    <n v="2"/>
    <n v="9"/>
    <n v="2"/>
    <n v="7.666666666666667"/>
    <s v="Reprovado"/>
    <s v="Piorou (-7 valores, -77,8%)"/>
    <s v="MP"/>
    <n v="9"/>
  </r>
  <r>
    <n v="102011"/>
    <x v="133"/>
    <s v="cfmartins@ua.pt"/>
    <n v="8220"/>
    <s v="TP2"/>
    <s v="P2"/>
    <s v="O "/>
    <n v="18"/>
    <n v="1"/>
    <n v="1"/>
    <n v="4"/>
    <n v="3"/>
    <n v="3"/>
    <n v="12"/>
    <n v="2"/>
    <n v="10.666666666666666"/>
    <s v="Aprovado"/>
    <s v="Piorou (-10 valores, -83,3%)"/>
    <m/>
    <s v="—"/>
  </r>
  <r>
    <n v="104183"/>
    <x v="134"/>
    <s v="lilianacunha02@ua.pt"/>
    <n v="8220"/>
    <s v="TP2"/>
    <s v="P1"/>
    <s v="O "/>
    <n v="14"/>
    <n v="1"/>
    <n v="2"/>
    <n v="3"/>
    <n v="5"/>
    <n v="1"/>
    <n v="12"/>
    <n v="2"/>
    <n v="9.3333333333333339"/>
    <s v="Reprovado"/>
    <s v="Piorou (-10 valores, -83,3%)"/>
    <s v="MP"/>
    <n v="4"/>
  </r>
  <r>
    <n v="108629"/>
    <x v="135"/>
    <s v="carol.afonso@ua.pt"/>
    <n v="8220"/>
    <s v="TP2"/>
    <s v="P9"/>
    <s v="O "/>
    <n v="16"/>
    <n v="2"/>
    <n v="1"/>
    <n v="7"/>
    <n v="5"/>
    <n v="4"/>
    <n v="19"/>
    <n v="2"/>
    <n v="12.333333333333334"/>
    <s v="Aprovado"/>
    <s v="Piorou (-17 valores, -89,5%)"/>
    <m/>
    <s v="—"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2"/>
    <n v="10.333333333333334"/>
    <s v="Aprovado"/>
    <s v="Piorou (-17 valores, -89,5%)"/>
    <m/>
    <s v="—"/>
  </r>
  <r>
    <n v="108654"/>
    <x v="137"/>
    <s v="milopes@ua.pt"/>
    <n v="8220"/>
    <s v="TP2"/>
    <s v="P9"/>
    <s v="TP"/>
    <n v="11"/>
    <n v="1"/>
    <n v="2"/>
    <n v="6"/>
    <n v="2"/>
    <n v="1"/>
    <n v="12"/>
    <n v="2"/>
    <n v="8.3333333333333339"/>
    <s v="Reprovado"/>
    <s v="Piorou (-10 valores, -83,3%)"/>
    <s v="MP"/>
    <n v="7"/>
  </r>
  <r>
    <n v="108869"/>
    <x v="138"/>
    <s v="ana.marg@ua.pt"/>
    <n v="8220"/>
    <s v="TP1"/>
    <s v="P8"/>
    <s v="O "/>
    <n v="8"/>
    <n v="2"/>
    <n v="1"/>
    <n v="3"/>
    <n v="2"/>
    <n v="1"/>
    <n v="9"/>
    <n v="2"/>
    <n v="6.333333333333333"/>
    <s v="Reprovado"/>
    <s v="Piorou (-7 valores, -77,8%)"/>
    <s v="MP"/>
    <n v="13"/>
  </r>
  <r>
    <n v="103761"/>
    <x v="139"/>
    <s v="azevedocarlos@ua.pt"/>
    <n v="8220"/>
    <s v="TP2"/>
    <s v="P1"/>
    <s v="O "/>
    <n v="8"/>
    <n v="1"/>
    <n v="5"/>
    <n v="3"/>
    <n v="1"/>
    <n v="8"/>
    <n v="18"/>
    <n v="2"/>
    <n v="9.3333333333333339"/>
    <s v="Reprovado"/>
    <s v="Piorou (-16 valores, -88,9%)"/>
    <s v="MP"/>
    <n v="4"/>
  </r>
  <r>
    <n v="107208"/>
    <x v="140"/>
    <s v="edgarjsilva19@ua.pt"/>
    <n v="8220"/>
    <s v="TP2"/>
    <s v="P1a"/>
    <s v="O "/>
    <n v="14"/>
    <n v="1"/>
    <n v="2"/>
    <n v="5"/>
    <n v="3"/>
    <n v="1"/>
    <n v="12"/>
    <n v="2"/>
    <n v="9.3333333333333339"/>
    <s v="Reprovado"/>
    <s v="Piorou (-10 valores, -83,3%)"/>
    <s v="MP"/>
    <n v="4"/>
  </r>
  <r>
    <n v="103314"/>
    <x v="141"/>
    <s v="madalenanabais@ua.pt"/>
    <n v="8220"/>
    <s v="TP2"/>
    <s v="P3"/>
    <s v="O "/>
    <n v="8"/>
    <n v="1"/>
    <n v="3"/>
    <n v="3"/>
    <n v="4"/>
    <n v="3"/>
    <n v="14"/>
    <n v="2"/>
    <n v="8"/>
    <s v="Reprovado"/>
    <s v="Piorou (-12 valores, -85,7%)"/>
    <s v="MP"/>
    <n v="8"/>
  </r>
  <r>
    <n v="109150"/>
    <x v="142"/>
    <s v="inessantosmartins@ua.pt"/>
    <n v="8220"/>
    <s v="TP2"/>
    <s v="P1a"/>
    <s v="O "/>
    <n v="14"/>
    <n v="3"/>
    <n v="4"/>
    <n v="4"/>
    <n v="1"/>
    <n v="2"/>
    <n v="14"/>
    <n v="2"/>
    <n v="10"/>
    <s v="Aprovado"/>
    <s v="Piorou (-12 valores, -85,7%)"/>
    <m/>
    <s v="—"/>
  </r>
  <r>
    <n v="105431"/>
    <x v="143"/>
    <s v="dag2@ua.pt"/>
    <n v="8220"/>
    <s v="TP1"/>
    <s v="P7"/>
    <s v="O "/>
    <n v="11"/>
    <n v="1"/>
    <n v="2"/>
    <n v="2"/>
    <n v="7"/>
    <n v="6"/>
    <n v="18"/>
    <n v="2"/>
    <n v="10.333333333333334"/>
    <s v="Aprovado"/>
    <s v="Piorou (-16 valores, -88,9%)"/>
    <m/>
    <s v="—"/>
  </r>
  <r>
    <n v="103768"/>
    <x v="144"/>
    <s v="mmrocha@ua.pt"/>
    <n v="8258"/>
    <s v="TP2"/>
    <s v="P1a"/>
    <s v="O "/>
    <n v="18"/>
    <n v="2"/>
    <n v="3"/>
    <n v="4"/>
    <n v="2"/>
    <n v="2"/>
    <n v="13"/>
    <n v="2"/>
    <n v="11"/>
    <s v="Aprovado"/>
    <s v="Piorou (-11 valores, -84,6%)"/>
    <m/>
    <s v="—"/>
  </r>
  <r>
    <n v="98007"/>
    <x v="145"/>
    <s v="beatrizppires@ua.pt"/>
    <n v="8220"/>
    <s v="TP2"/>
    <s v="P1a"/>
    <s v="O "/>
    <n v="11"/>
    <n v="1"/>
    <n v="3"/>
    <n v="2"/>
    <n v="1"/>
    <n v="1"/>
    <n v="8"/>
    <n v="2"/>
    <n v="7"/>
    <s v="Reprovado"/>
    <s v="Piorou (-6 valores, -75%)"/>
    <s v="MP"/>
    <n v="11"/>
  </r>
  <r>
    <n v="107594"/>
    <x v="146"/>
    <s v="catarina.costa21@ua.pt"/>
    <n v="8220"/>
    <s v="TP2"/>
    <s v="P2"/>
    <s v="O "/>
    <n v="16"/>
    <n v="4"/>
    <n v="2"/>
    <n v="2"/>
    <n v="1"/>
    <n v="4"/>
    <n v="13"/>
    <n v="2"/>
    <n v="10.333333333333334"/>
    <s v="Aprovado"/>
    <s v="Piorou (-11 valores, -84,6%)"/>
    <m/>
    <s v="—"/>
  </r>
  <r>
    <n v="107319"/>
    <x v="147"/>
    <s v="mvlima@ua.pt"/>
    <n v="8220"/>
    <s v="TP2"/>
    <s v="P1"/>
    <s v="O "/>
    <n v="16"/>
    <n v="5"/>
    <n v="2"/>
    <n v="3"/>
    <n v="3"/>
    <n v="1"/>
    <n v="14"/>
    <n v="2"/>
    <n v="10.666666666666666"/>
    <s v="Aprovado"/>
    <s v="Piorou (-12 valores, -85,7%)"/>
    <m/>
    <s v="—"/>
  </r>
  <r>
    <n v="99397"/>
    <x v="148"/>
    <s v="joanagf@ua.pt"/>
    <n v="8220"/>
    <s v="TP2"/>
    <s v="P1"/>
    <s v="O "/>
    <n v="16"/>
    <n v="2"/>
    <n v="3"/>
    <n v="1"/>
    <n v="1"/>
    <n v="2"/>
    <n v="9"/>
    <n v="2"/>
    <n v="9"/>
    <s v="Reprovado"/>
    <s v="Piorou (-7 valores, -77,8%)"/>
    <s v="MP"/>
    <n v="5"/>
  </r>
  <r>
    <n v="105127"/>
    <x v="149"/>
    <s v="pedro.caio@ua.pt"/>
    <n v="8258"/>
    <s v="TP1"/>
    <s v="P1a"/>
    <s v="O "/>
    <n v="10"/>
    <n v="2"/>
    <n v="3"/>
    <n v="5"/>
    <n v="3"/>
    <n v="6"/>
    <n v="19"/>
    <n v="2"/>
    <n v="10.333333333333334"/>
    <s v="Aprovado"/>
    <s v="Piorou (-17 valores, -89,5%)"/>
    <m/>
    <s v="—"/>
  </r>
  <r>
    <n v="105083"/>
    <x v="150"/>
    <s v="margaridacmoreira18@ua.pt"/>
    <n v="8220"/>
    <s v="TP1"/>
    <s v="P1a"/>
    <s v="O "/>
    <n v="11"/>
    <n v="4"/>
    <n v="4"/>
    <n v="2"/>
    <n v="1"/>
    <n v="7"/>
    <n v="18"/>
    <n v="2"/>
    <n v="10.333333333333334"/>
    <s v="Aprovado"/>
    <s v="Piorou (-16 valores, -88,9%)"/>
    <m/>
    <s v="—"/>
  </r>
  <r>
    <n v="109162"/>
    <x v="151"/>
    <s v="goncaloalbino@ua.pt"/>
    <n v="8220"/>
    <s v="TP2"/>
    <s v="P1a"/>
    <s v="O "/>
    <n v="10"/>
    <n v="1"/>
    <n v="2"/>
    <n v="3"/>
    <n v="2"/>
    <n v="2"/>
    <n v="10"/>
    <n v="2"/>
    <n v="7.333333333333333"/>
    <s v="Reprovado"/>
    <s v="Piorou (-8 valores, -80%)"/>
    <s v="MP"/>
    <n v="10"/>
  </r>
  <r>
    <n v="108225"/>
    <x v="152"/>
    <s v="ines.i.o.r@ua.pt"/>
    <n v="8220"/>
    <s v="TP2"/>
    <s v="P1"/>
    <s v="O "/>
    <n v="8"/>
    <n v="1"/>
    <n v="1"/>
    <n v="2"/>
    <n v="1"/>
    <n v="3"/>
    <n v="8"/>
    <n v="2"/>
    <n v="6"/>
    <s v="Reprovado"/>
    <s v="Piorou (-6 valores, -75%)"/>
    <s v="MP"/>
    <n v="14"/>
  </r>
  <r>
    <n v="105880"/>
    <x v="153"/>
    <s v="nunes.gomes@ua.pt"/>
    <n v="1000"/>
    <s v="TP2"/>
    <s v="P2"/>
    <s v="O "/>
    <n v="16"/>
    <n v="6"/>
    <n v="2"/>
    <n v="6"/>
    <n v="1"/>
    <n v="1"/>
    <n v="16"/>
    <n v="2"/>
    <n v="11.333333333333334"/>
    <s v="Aprovado"/>
    <s v="Piorou (-14 valores, -87,5%)"/>
    <m/>
    <s v="—"/>
  </r>
  <r>
    <n v="108078"/>
    <x v="154"/>
    <s v="duarteteles@ua.pt"/>
    <n v="8220"/>
    <s v="TP1"/>
    <s v="P3"/>
    <s v="O "/>
    <n v="16"/>
    <n v="1"/>
    <n v="1"/>
    <n v="4"/>
    <n v="4"/>
    <n v="2"/>
    <n v="12"/>
    <n v="2"/>
    <n v="10"/>
    <s v="Aprovado"/>
    <s v="Piorou (-10 valores, -83,3%)"/>
    <m/>
    <s v="—"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2"/>
    <n v="9.6666666666666661"/>
    <s v="Reprovado"/>
    <s v="Piorou (-14 valores, -87,5%)"/>
    <s v="MP"/>
    <n v="3"/>
  </r>
  <r>
    <n v="102437"/>
    <x v="156"/>
    <s v="juliaganchas@ua.pt"/>
    <n v="8220"/>
    <s v="TP2"/>
    <s v="P1a"/>
    <s v="O "/>
    <n v="16"/>
    <n v="2"/>
    <n v="1"/>
    <n v="2"/>
    <n v="9"/>
    <n v="2"/>
    <n v="16"/>
    <n v="2"/>
    <n v="11.333333333333334"/>
    <s v="Aprovado"/>
    <s v="Piorou (-14 valores, -87,5%)"/>
    <m/>
    <s v="—"/>
  </r>
  <r>
    <n v="97876"/>
    <x v="157"/>
    <s v="maria.sampaio@ua.pt"/>
    <n v="8220"/>
    <s v="TP2"/>
    <s v="P10"/>
    <s v="O "/>
    <n v="18"/>
    <n v="3"/>
    <n v="3"/>
    <n v="1"/>
    <n v="1"/>
    <n v="1"/>
    <n v="9"/>
    <n v="2"/>
    <n v="9.6666666666666661"/>
    <s v="Reprovado"/>
    <s v="Piorou (-7 valores, -77,8%)"/>
    <s v="MP"/>
    <n v="3"/>
  </r>
  <r>
    <n v="103910"/>
    <x v="158"/>
    <s v="alexandradias@ua.pt"/>
    <n v="8220"/>
    <s v="TP2"/>
    <s v="P5"/>
    <s v="O "/>
    <n v="10"/>
    <n v="1"/>
    <n v="1"/>
    <n v="1"/>
    <n v="1"/>
    <n v="3"/>
    <n v="7"/>
    <n v="2"/>
    <n v="6.333333333333333"/>
    <s v="Reprovado"/>
    <s v="Piorou (-5 valores, -71,4%)"/>
    <s v="MP"/>
    <n v="13"/>
  </r>
  <r>
    <m/>
    <x v="159"/>
    <m/>
    <m/>
    <m/>
    <m/>
    <m/>
    <m/>
    <m/>
    <m/>
    <m/>
    <m/>
    <m/>
    <m/>
    <m/>
    <m/>
    <m/>
    <m/>
    <m/>
    <m/>
  </r>
  <r>
    <m/>
    <x v="159"/>
    <m/>
    <m/>
    <m/>
    <m/>
    <m/>
    <m/>
    <m/>
    <m/>
    <m/>
    <m/>
    <m/>
    <m/>
    <m/>
    <m/>
    <m/>
    <m/>
    <m/>
    <m/>
  </r>
  <r>
    <m/>
    <x v="160"/>
    <n v="0"/>
    <m/>
    <m/>
    <m/>
    <m/>
    <m/>
    <m/>
    <m/>
    <m/>
    <m/>
    <m/>
    <m/>
    <m/>
    <m/>
    <m/>
    <m/>
    <m/>
    <m/>
  </r>
  <r>
    <m/>
    <x v="161"/>
    <n v="159"/>
    <m/>
    <m/>
    <m/>
    <m/>
    <m/>
    <m/>
    <m/>
    <m/>
    <m/>
    <m/>
    <m/>
    <m/>
    <m/>
    <m/>
    <m/>
    <m/>
    <m/>
  </r>
  <r>
    <m/>
    <x v="162"/>
    <n v="58"/>
    <m/>
    <m/>
    <m/>
    <m/>
    <m/>
    <m/>
    <m/>
    <m/>
    <m/>
    <m/>
    <m/>
    <m/>
    <m/>
    <m/>
    <m/>
    <m/>
    <m/>
  </r>
  <r>
    <m/>
    <x v="163"/>
    <n v="101"/>
    <m/>
    <m/>
    <m/>
    <m/>
    <m/>
    <m/>
    <m/>
    <m/>
    <m/>
    <m/>
    <m/>
    <m/>
    <m/>
    <m/>
    <m/>
    <m/>
    <m/>
  </r>
  <r>
    <m/>
    <x v="164"/>
    <s v="36,5%"/>
    <m/>
    <m/>
    <m/>
    <m/>
    <m/>
    <m/>
    <m/>
    <m/>
    <m/>
    <m/>
    <m/>
    <m/>
    <m/>
    <m/>
    <m/>
    <m/>
    <m/>
  </r>
  <r>
    <m/>
    <x v="165"/>
    <s v="9,22"/>
    <m/>
    <m/>
    <m/>
    <m/>
    <m/>
    <m/>
    <m/>
    <m/>
    <m/>
    <m/>
    <m/>
    <m/>
    <m/>
    <m/>
    <m/>
    <m/>
    <m/>
  </r>
  <r>
    <m/>
    <x v="166"/>
    <s v="13,00"/>
    <m/>
    <m/>
    <m/>
    <m/>
    <m/>
    <m/>
    <m/>
    <m/>
    <m/>
    <m/>
    <m/>
    <m/>
    <m/>
    <m/>
    <m/>
    <m/>
    <m/>
  </r>
  <r>
    <m/>
    <x v="167"/>
    <s v="6,00"/>
    <m/>
    <m/>
    <m/>
    <m/>
    <m/>
    <m/>
    <m/>
    <m/>
    <m/>
    <m/>
    <m/>
    <m/>
    <m/>
    <m/>
    <m/>
    <m/>
    <m/>
  </r>
  <r>
    <m/>
    <x v="168"/>
    <s v="9,33"/>
    <m/>
    <m/>
    <m/>
    <m/>
    <m/>
    <m/>
    <m/>
    <m/>
    <m/>
    <m/>
    <m/>
    <m/>
    <m/>
    <m/>
    <m/>
    <m/>
    <m/>
  </r>
  <r>
    <m/>
    <x v="169"/>
    <s v="1,58"/>
    <m/>
    <m/>
    <m/>
    <m/>
    <m/>
    <m/>
    <m/>
    <m/>
    <m/>
    <m/>
    <m/>
    <m/>
    <m/>
    <m/>
    <m/>
    <m/>
    <m/>
  </r>
  <r>
    <m/>
    <x v="170"/>
    <n v="0"/>
    <m/>
    <m/>
    <m/>
    <m/>
    <m/>
    <m/>
    <m/>
    <m/>
    <m/>
    <m/>
    <m/>
    <m/>
    <m/>
    <m/>
    <m/>
    <m/>
    <m/>
  </r>
  <r>
    <m/>
    <x v="171"/>
    <n v="0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9613D-601E-472C-9A0E-86CCAE62E453}" name="TabelaDinamica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C84F3-0C5F-4BFD-A294-A691692665ED}" name="TabelaDinamic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53D37-6DCE-4F66-BAF2-F132850506A1}" name="TabelaDinamica" cacheId="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C940B5-565F-4F60-919D-10630FF51CE0}" name="TabelaDinamica" cacheId="6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174" firstHeaderRow="1" firstDataRow="1" firstDataCol="1"/>
  <pivotFields count="20">
    <pivotField showAll="0"/>
    <pivotField axis="axisRow" showAll="0">
      <items count="173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162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69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160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165"/>
        <item x="168"/>
        <item x="166"/>
        <item x="84"/>
        <item x="28"/>
        <item x="170"/>
        <item x="171"/>
        <item x="121"/>
        <item x="32"/>
        <item x="149"/>
        <item x="12"/>
        <item x="89"/>
        <item x="82"/>
        <item x="93"/>
        <item x="94"/>
        <item x="54"/>
        <item x="164"/>
        <item x="167"/>
        <item x="59"/>
        <item x="103"/>
        <item x="163"/>
        <item x="23"/>
        <item x="74"/>
        <item x="63"/>
        <item x="108"/>
        <item x="62"/>
        <item x="95"/>
        <item x="57"/>
        <item x="70"/>
        <item x="92"/>
        <item x="161"/>
        <item x="40"/>
        <item x="46"/>
        <item x="112"/>
        <item x="85"/>
        <item x="15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 t="grand">
      <x/>
    </i>
  </rowItems>
  <colItems count="1">
    <i/>
  </colItems>
  <dataFields count="1">
    <dataField name="Contagem de REGIME" fld="6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F9EDA-0233-436B-BD7F-DF57DC3BE730}">
  <dimension ref="A1:C18"/>
  <sheetViews>
    <sheetView workbookViewId="0"/>
  </sheetViews>
  <sheetFormatPr defaultRowHeight="14.4" x14ac:dyDescent="0.3"/>
  <sheetData>
    <row r="1" spans="1:3" x14ac:dyDescent="0.3">
      <c r="A1" s="4"/>
      <c r="B1" s="5"/>
      <c r="C1" s="6"/>
    </row>
    <row r="2" spans="1:3" x14ac:dyDescent="0.3">
      <c r="A2" s="7"/>
      <c r="B2" s="8"/>
      <c r="C2" s="9"/>
    </row>
    <row r="3" spans="1:3" x14ac:dyDescent="0.3">
      <c r="A3" s="7"/>
      <c r="B3" s="8"/>
      <c r="C3" s="9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10"/>
      <c r="B18" s="11"/>
      <c r="C18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DA01-CDEE-44CA-9F32-F0B4A9AB32FC}">
  <dimension ref="A1:C18"/>
  <sheetViews>
    <sheetView workbookViewId="0"/>
  </sheetViews>
  <sheetFormatPr defaultRowHeight="14.4" x14ac:dyDescent="0.3"/>
  <sheetData>
    <row r="1" spans="1:3" x14ac:dyDescent="0.3">
      <c r="A1" s="4"/>
      <c r="B1" s="5"/>
      <c r="C1" s="6"/>
    </row>
    <row r="2" spans="1:3" x14ac:dyDescent="0.3">
      <c r="A2" s="7"/>
      <c r="B2" s="8"/>
      <c r="C2" s="9"/>
    </row>
    <row r="3" spans="1:3" x14ac:dyDescent="0.3">
      <c r="A3" s="7"/>
      <c r="B3" s="8"/>
      <c r="C3" s="9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10"/>
      <c r="B18" s="11"/>
      <c r="C18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A796-8F90-4D77-9A98-5A781453E2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3FD0A-5FB9-424A-BC15-376594038135}">
  <dimension ref="A1:C18"/>
  <sheetViews>
    <sheetView workbookViewId="0"/>
  </sheetViews>
  <sheetFormatPr defaultRowHeight="14.4" x14ac:dyDescent="0.3"/>
  <sheetData>
    <row r="1" spans="1:3" x14ac:dyDescent="0.3">
      <c r="A1" s="4"/>
      <c r="B1" s="5"/>
      <c r="C1" s="6"/>
    </row>
    <row r="2" spans="1:3" x14ac:dyDescent="0.3">
      <c r="A2" s="7"/>
      <c r="B2" s="8"/>
      <c r="C2" s="9"/>
    </row>
    <row r="3" spans="1:3" x14ac:dyDescent="0.3">
      <c r="A3" s="7"/>
      <c r="B3" s="8"/>
      <c r="C3" s="9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10"/>
      <c r="B18" s="11"/>
      <c r="C18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72AB-7E3C-40B8-AC16-17A9699F96B2}">
  <dimension ref="A1:B174"/>
  <sheetViews>
    <sheetView tabSelected="1" workbookViewId="0"/>
  </sheetViews>
  <sheetFormatPr defaultRowHeight="14.4" x14ac:dyDescent="0.3"/>
  <cols>
    <col min="1" max="1" width="54" bestFit="1" customWidth="1"/>
    <col min="2" max="2" width="19.88671875" bestFit="1" customWidth="1"/>
  </cols>
  <sheetData>
    <row r="1" spans="1:2" x14ac:dyDescent="0.3">
      <c r="A1" s="17" t="s">
        <v>386</v>
      </c>
      <c r="B1" t="s">
        <v>389</v>
      </c>
    </row>
    <row r="2" spans="1:2" x14ac:dyDescent="0.3">
      <c r="A2" s="18" t="s">
        <v>93</v>
      </c>
      <c r="B2" s="19">
        <v>1</v>
      </c>
    </row>
    <row r="3" spans="1:2" x14ac:dyDescent="0.3">
      <c r="A3" s="18" t="s">
        <v>43</v>
      </c>
      <c r="B3" s="19">
        <v>1</v>
      </c>
    </row>
    <row r="4" spans="1:2" x14ac:dyDescent="0.3">
      <c r="A4" s="18" t="s">
        <v>32</v>
      </c>
      <c r="B4" s="19">
        <v>1</v>
      </c>
    </row>
    <row r="5" spans="1:2" x14ac:dyDescent="0.3">
      <c r="A5" s="18" t="s">
        <v>172</v>
      </c>
      <c r="B5" s="19">
        <v>1</v>
      </c>
    </row>
    <row r="6" spans="1:2" x14ac:dyDescent="0.3">
      <c r="A6" s="18" t="s">
        <v>62</v>
      </c>
      <c r="B6" s="19">
        <v>1</v>
      </c>
    </row>
    <row r="7" spans="1:2" x14ac:dyDescent="0.3">
      <c r="A7" s="18" t="s">
        <v>75</v>
      </c>
      <c r="B7" s="19">
        <v>1</v>
      </c>
    </row>
    <row r="8" spans="1:2" x14ac:dyDescent="0.3">
      <c r="A8" s="18" t="s">
        <v>130</v>
      </c>
      <c r="B8" s="19">
        <v>1</v>
      </c>
    </row>
    <row r="9" spans="1:2" x14ac:dyDescent="0.3">
      <c r="A9" s="18" t="s">
        <v>140</v>
      </c>
      <c r="B9" s="19">
        <v>1</v>
      </c>
    </row>
    <row r="10" spans="1:2" x14ac:dyDescent="0.3">
      <c r="A10" s="18" t="s">
        <v>129</v>
      </c>
      <c r="B10" s="19">
        <v>1</v>
      </c>
    </row>
    <row r="11" spans="1:2" x14ac:dyDescent="0.3">
      <c r="A11" s="18" t="s">
        <v>91</v>
      </c>
      <c r="B11" s="19">
        <v>1</v>
      </c>
    </row>
    <row r="12" spans="1:2" x14ac:dyDescent="0.3">
      <c r="A12" s="18" t="s">
        <v>67</v>
      </c>
      <c r="B12" s="19">
        <v>1</v>
      </c>
    </row>
    <row r="13" spans="1:2" x14ac:dyDescent="0.3">
      <c r="A13" s="18" t="s">
        <v>15</v>
      </c>
      <c r="B13" s="19">
        <v>1</v>
      </c>
    </row>
    <row r="14" spans="1:2" x14ac:dyDescent="0.3">
      <c r="A14" s="18" t="s">
        <v>128</v>
      </c>
      <c r="B14" s="19">
        <v>1</v>
      </c>
    </row>
    <row r="15" spans="1:2" x14ac:dyDescent="0.3">
      <c r="A15" s="18" t="s">
        <v>131</v>
      </c>
      <c r="B15" s="19">
        <v>1</v>
      </c>
    </row>
    <row r="16" spans="1:2" x14ac:dyDescent="0.3">
      <c r="A16" s="18" t="s">
        <v>152</v>
      </c>
      <c r="B16" s="19">
        <v>1</v>
      </c>
    </row>
    <row r="17" spans="1:2" x14ac:dyDescent="0.3">
      <c r="A17" s="18" t="s">
        <v>61</v>
      </c>
      <c r="B17" s="19">
        <v>1</v>
      </c>
    </row>
    <row r="18" spans="1:2" x14ac:dyDescent="0.3">
      <c r="A18" s="18" t="s">
        <v>146</v>
      </c>
      <c r="B18" s="19">
        <v>1</v>
      </c>
    </row>
    <row r="19" spans="1:2" x14ac:dyDescent="0.3">
      <c r="A19" s="18" t="s">
        <v>92</v>
      </c>
      <c r="B19" s="19">
        <v>1</v>
      </c>
    </row>
    <row r="20" spans="1:2" x14ac:dyDescent="0.3">
      <c r="A20" s="18" t="s">
        <v>47</v>
      </c>
      <c r="B20" s="19">
        <v>1</v>
      </c>
    </row>
    <row r="21" spans="1:2" x14ac:dyDescent="0.3">
      <c r="A21" s="18" t="s">
        <v>50</v>
      </c>
      <c r="B21" s="19">
        <v>1</v>
      </c>
    </row>
    <row r="22" spans="1:2" x14ac:dyDescent="0.3">
      <c r="A22" s="18" t="s">
        <v>138</v>
      </c>
      <c r="B22" s="19">
        <v>1</v>
      </c>
    </row>
    <row r="23" spans="1:2" x14ac:dyDescent="0.3">
      <c r="A23" s="18" t="s">
        <v>370</v>
      </c>
      <c r="B23" s="19"/>
    </row>
    <row r="24" spans="1:2" x14ac:dyDescent="0.3">
      <c r="A24" s="18" t="s">
        <v>87</v>
      </c>
      <c r="B24" s="19">
        <v>1</v>
      </c>
    </row>
    <row r="25" spans="1:2" x14ac:dyDescent="0.3">
      <c r="A25" s="18" t="s">
        <v>94</v>
      </c>
      <c r="B25" s="19">
        <v>1</v>
      </c>
    </row>
    <row r="26" spans="1:2" x14ac:dyDescent="0.3">
      <c r="A26" s="18" t="s">
        <v>31</v>
      </c>
      <c r="B26" s="19">
        <v>1</v>
      </c>
    </row>
    <row r="27" spans="1:2" x14ac:dyDescent="0.3">
      <c r="A27" s="18" t="s">
        <v>90</v>
      </c>
      <c r="B27" s="19">
        <v>1</v>
      </c>
    </row>
    <row r="28" spans="1:2" x14ac:dyDescent="0.3">
      <c r="A28" s="18" t="s">
        <v>159</v>
      </c>
      <c r="B28" s="19">
        <v>1</v>
      </c>
    </row>
    <row r="29" spans="1:2" x14ac:dyDescent="0.3">
      <c r="A29" s="18" t="s">
        <v>79</v>
      </c>
      <c r="B29" s="19">
        <v>1</v>
      </c>
    </row>
    <row r="30" spans="1:2" x14ac:dyDescent="0.3">
      <c r="A30" s="18" t="s">
        <v>95</v>
      </c>
      <c r="B30" s="19">
        <v>1</v>
      </c>
    </row>
    <row r="31" spans="1:2" x14ac:dyDescent="0.3">
      <c r="A31" s="18" t="s">
        <v>141</v>
      </c>
      <c r="B31" s="19">
        <v>1</v>
      </c>
    </row>
    <row r="32" spans="1:2" x14ac:dyDescent="0.3">
      <c r="A32" s="18" t="s">
        <v>167</v>
      </c>
      <c r="B32" s="19">
        <v>1</v>
      </c>
    </row>
    <row r="33" spans="1:2" x14ac:dyDescent="0.3">
      <c r="A33" s="18" t="s">
        <v>86</v>
      </c>
      <c r="B33" s="19">
        <v>1</v>
      </c>
    </row>
    <row r="34" spans="1:2" x14ac:dyDescent="0.3">
      <c r="A34" s="18" t="s">
        <v>153</v>
      </c>
      <c r="B34" s="19">
        <v>1</v>
      </c>
    </row>
    <row r="35" spans="1:2" x14ac:dyDescent="0.3">
      <c r="A35" s="18" t="s">
        <v>149</v>
      </c>
      <c r="B35" s="19">
        <v>1</v>
      </c>
    </row>
    <row r="36" spans="1:2" x14ac:dyDescent="0.3">
      <c r="A36" s="18" t="s">
        <v>36</v>
      </c>
      <c r="B36" s="19">
        <v>1</v>
      </c>
    </row>
    <row r="37" spans="1:2" x14ac:dyDescent="0.3">
      <c r="A37" s="18" t="s">
        <v>147</v>
      </c>
      <c r="B37" s="19">
        <v>1</v>
      </c>
    </row>
    <row r="38" spans="1:2" x14ac:dyDescent="0.3">
      <c r="A38" s="18" t="s">
        <v>81</v>
      </c>
      <c r="B38" s="19">
        <v>1</v>
      </c>
    </row>
    <row r="39" spans="1:2" x14ac:dyDescent="0.3">
      <c r="A39" s="18" t="s">
        <v>142</v>
      </c>
      <c r="B39" s="19">
        <v>1</v>
      </c>
    </row>
    <row r="40" spans="1:2" x14ac:dyDescent="0.3">
      <c r="A40" s="18" t="s">
        <v>169</v>
      </c>
      <c r="B40" s="19">
        <v>1</v>
      </c>
    </row>
    <row r="41" spans="1:2" x14ac:dyDescent="0.3">
      <c r="A41" s="18" t="s">
        <v>160</v>
      </c>
      <c r="B41" s="19">
        <v>1</v>
      </c>
    </row>
    <row r="42" spans="1:2" x14ac:dyDescent="0.3">
      <c r="A42" s="18" t="s">
        <v>40</v>
      </c>
      <c r="B42" s="19">
        <v>1</v>
      </c>
    </row>
    <row r="43" spans="1:2" x14ac:dyDescent="0.3">
      <c r="A43" s="18" t="s">
        <v>150</v>
      </c>
      <c r="B43" s="19">
        <v>1</v>
      </c>
    </row>
    <row r="44" spans="1:2" x14ac:dyDescent="0.3">
      <c r="A44" s="18" t="s">
        <v>89</v>
      </c>
      <c r="B44" s="19">
        <v>1</v>
      </c>
    </row>
    <row r="45" spans="1:2" x14ac:dyDescent="0.3">
      <c r="A45" s="18" t="s">
        <v>34</v>
      </c>
      <c r="B45" s="19">
        <v>1</v>
      </c>
    </row>
    <row r="46" spans="1:2" x14ac:dyDescent="0.3">
      <c r="A46" s="18" t="s">
        <v>134</v>
      </c>
      <c r="B46" s="19">
        <v>1</v>
      </c>
    </row>
    <row r="47" spans="1:2" x14ac:dyDescent="0.3">
      <c r="A47" s="18" t="s">
        <v>18</v>
      </c>
      <c r="B47" s="19">
        <v>1</v>
      </c>
    </row>
    <row r="48" spans="1:2" x14ac:dyDescent="0.3">
      <c r="A48" s="18" t="s">
        <v>382</v>
      </c>
      <c r="B48" s="19"/>
    </row>
    <row r="49" spans="1:2" x14ac:dyDescent="0.3">
      <c r="A49" s="18" t="s">
        <v>157</v>
      </c>
      <c r="B49" s="19">
        <v>1</v>
      </c>
    </row>
    <row r="50" spans="1:2" x14ac:dyDescent="0.3">
      <c r="A50" s="18" t="s">
        <v>104</v>
      </c>
      <c r="B50" s="19">
        <v>1</v>
      </c>
    </row>
    <row r="51" spans="1:2" x14ac:dyDescent="0.3">
      <c r="A51" s="18" t="s">
        <v>125</v>
      </c>
      <c r="B51" s="19">
        <v>1</v>
      </c>
    </row>
    <row r="52" spans="1:2" x14ac:dyDescent="0.3">
      <c r="A52" s="18" t="s">
        <v>25</v>
      </c>
      <c r="B52" s="19">
        <v>1</v>
      </c>
    </row>
    <row r="53" spans="1:2" x14ac:dyDescent="0.3">
      <c r="A53" s="18" t="s">
        <v>30</v>
      </c>
      <c r="B53" s="19">
        <v>1</v>
      </c>
    </row>
    <row r="54" spans="1:2" x14ac:dyDescent="0.3">
      <c r="A54" s="18" t="s">
        <v>116</v>
      </c>
      <c r="B54" s="19">
        <v>1</v>
      </c>
    </row>
    <row r="55" spans="1:2" x14ac:dyDescent="0.3">
      <c r="A55" s="18" t="s">
        <v>65</v>
      </c>
      <c r="B55" s="19">
        <v>1</v>
      </c>
    </row>
    <row r="56" spans="1:2" x14ac:dyDescent="0.3">
      <c r="A56" s="18" t="s">
        <v>168</v>
      </c>
      <c r="B56" s="19">
        <v>1</v>
      </c>
    </row>
    <row r="57" spans="1:2" x14ac:dyDescent="0.3">
      <c r="A57" s="18" t="s">
        <v>154</v>
      </c>
      <c r="B57" s="19">
        <v>1</v>
      </c>
    </row>
    <row r="58" spans="1:2" x14ac:dyDescent="0.3">
      <c r="A58" s="18" t="s">
        <v>22</v>
      </c>
      <c r="B58" s="19">
        <v>1</v>
      </c>
    </row>
    <row r="59" spans="1:2" x14ac:dyDescent="0.3">
      <c r="A59" s="18" t="s">
        <v>24</v>
      </c>
      <c r="B59" s="19">
        <v>1</v>
      </c>
    </row>
    <row r="60" spans="1:2" x14ac:dyDescent="0.3">
      <c r="A60" s="18" t="s">
        <v>119</v>
      </c>
      <c r="B60" s="19">
        <v>1</v>
      </c>
    </row>
    <row r="61" spans="1:2" x14ac:dyDescent="0.3">
      <c r="A61" s="18" t="s">
        <v>66</v>
      </c>
      <c r="B61" s="19">
        <v>1</v>
      </c>
    </row>
    <row r="62" spans="1:2" x14ac:dyDescent="0.3">
      <c r="A62" s="18" t="s">
        <v>368</v>
      </c>
      <c r="B62" s="19"/>
    </row>
    <row r="63" spans="1:2" x14ac:dyDescent="0.3">
      <c r="A63" s="18" t="s">
        <v>105</v>
      </c>
      <c r="B63" s="19">
        <v>1</v>
      </c>
    </row>
    <row r="64" spans="1:2" x14ac:dyDescent="0.3">
      <c r="A64" s="18" t="s">
        <v>52</v>
      </c>
      <c r="B64" s="19">
        <v>1</v>
      </c>
    </row>
    <row r="65" spans="1:2" x14ac:dyDescent="0.3">
      <c r="A65" s="18" t="s">
        <v>85</v>
      </c>
      <c r="B65" s="19">
        <v>1</v>
      </c>
    </row>
    <row r="66" spans="1:2" x14ac:dyDescent="0.3">
      <c r="A66" s="18" t="s">
        <v>82</v>
      </c>
      <c r="B66" s="19">
        <v>1</v>
      </c>
    </row>
    <row r="67" spans="1:2" x14ac:dyDescent="0.3">
      <c r="A67" s="18" t="s">
        <v>102</v>
      </c>
      <c r="B67" s="19">
        <v>1</v>
      </c>
    </row>
    <row r="68" spans="1:2" x14ac:dyDescent="0.3">
      <c r="A68" s="18" t="s">
        <v>58</v>
      </c>
      <c r="B68" s="19">
        <v>1</v>
      </c>
    </row>
    <row r="69" spans="1:2" x14ac:dyDescent="0.3">
      <c r="A69" s="18" t="s">
        <v>74</v>
      </c>
      <c r="B69" s="19">
        <v>1</v>
      </c>
    </row>
    <row r="70" spans="1:2" x14ac:dyDescent="0.3">
      <c r="A70" s="18" t="s">
        <v>165</v>
      </c>
      <c r="B70" s="19">
        <v>1</v>
      </c>
    </row>
    <row r="71" spans="1:2" x14ac:dyDescent="0.3">
      <c r="A71" s="18" t="s">
        <v>143</v>
      </c>
      <c r="B71" s="19">
        <v>1</v>
      </c>
    </row>
    <row r="72" spans="1:2" x14ac:dyDescent="0.3">
      <c r="A72" s="18" t="s">
        <v>101</v>
      </c>
      <c r="B72" s="19">
        <v>1</v>
      </c>
    </row>
    <row r="73" spans="1:2" x14ac:dyDescent="0.3">
      <c r="A73" s="18" t="s">
        <v>115</v>
      </c>
      <c r="B73" s="19">
        <v>1</v>
      </c>
    </row>
    <row r="74" spans="1:2" x14ac:dyDescent="0.3">
      <c r="A74" s="18" t="s">
        <v>156</v>
      </c>
      <c r="B74" s="19">
        <v>1</v>
      </c>
    </row>
    <row r="75" spans="1:2" x14ac:dyDescent="0.3">
      <c r="A75" s="18" t="s">
        <v>166</v>
      </c>
      <c r="B75" s="19">
        <v>1</v>
      </c>
    </row>
    <row r="76" spans="1:2" x14ac:dyDescent="0.3">
      <c r="A76" s="18" t="s">
        <v>33</v>
      </c>
      <c r="B76" s="19">
        <v>1</v>
      </c>
    </row>
    <row r="77" spans="1:2" x14ac:dyDescent="0.3">
      <c r="A77" s="18" t="s">
        <v>59</v>
      </c>
      <c r="B77" s="19">
        <v>1</v>
      </c>
    </row>
    <row r="78" spans="1:2" x14ac:dyDescent="0.3">
      <c r="A78" s="18" t="s">
        <v>120</v>
      </c>
      <c r="B78" s="19">
        <v>1</v>
      </c>
    </row>
    <row r="79" spans="1:2" x14ac:dyDescent="0.3">
      <c r="A79" s="18" t="s">
        <v>113</v>
      </c>
      <c r="B79" s="19">
        <v>1</v>
      </c>
    </row>
    <row r="80" spans="1:2" x14ac:dyDescent="0.3">
      <c r="A80" s="18" t="s">
        <v>20</v>
      </c>
      <c r="B80" s="19">
        <v>1</v>
      </c>
    </row>
    <row r="81" spans="1:2" x14ac:dyDescent="0.3">
      <c r="A81" s="18" t="s">
        <v>162</v>
      </c>
      <c r="B81" s="19">
        <v>1</v>
      </c>
    </row>
    <row r="82" spans="1:2" x14ac:dyDescent="0.3">
      <c r="A82" s="18" t="s">
        <v>144</v>
      </c>
      <c r="B82" s="19">
        <v>1</v>
      </c>
    </row>
    <row r="83" spans="1:2" x14ac:dyDescent="0.3">
      <c r="A83" s="18" t="s">
        <v>19</v>
      </c>
      <c r="B83" s="19">
        <v>1</v>
      </c>
    </row>
    <row r="84" spans="1:2" x14ac:dyDescent="0.3">
      <c r="A84" s="18" t="s">
        <v>112</v>
      </c>
      <c r="B84" s="19">
        <v>1</v>
      </c>
    </row>
    <row r="85" spans="1:2" x14ac:dyDescent="0.3">
      <c r="A85" s="18" t="s">
        <v>139</v>
      </c>
      <c r="B85" s="19">
        <v>1</v>
      </c>
    </row>
    <row r="86" spans="1:2" x14ac:dyDescent="0.3">
      <c r="A86" s="18" t="s">
        <v>45</v>
      </c>
      <c r="B86" s="19">
        <v>1</v>
      </c>
    </row>
    <row r="87" spans="1:2" x14ac:dyDescent="0.3">
      <c r="A87" s="18" t="s">
        <v>27</v>
      </c>
      <c r="B87" s="19">
        <v>1</v>
      </c>
    </row>
    <row r="88" spans="1:2" x14ac:dyDescent="0.3">
      <c r="A88" s="18" t="s">
        <v>121</v>
      </c>
      <c r="B88" s="19">
        <v>1</v>
      </c>
    </row>
    <row r="89" spans="1:2" x14ac:dyDescent="0.3">
      <c r="A89" s="18" t="s">
        <v>39</v>
      </c>
      <c r="B89" s="19">
        <v>1</v>
      </c>
    </row>
    <row r="90" spans="1:2" x14ac:dyDescent="0.3">
      <c r="A90" s="18" t="s">
        <v>51</v>
      </c>
      <c r="B90" s="19">
        <v>1</v>
      </c>
    </row>
    <row r="91" spans="1:2" x14ac:dyDescent="0.3">
      <c r="A91" s="18" t="s">
        <v>83</v>
      </c>
      <c r="B91" s="19">
        <v>1</v>
      </c>
    </row>
    <row r="92" spans="1:2" x14ac:dyDescent="0.3">
      <c r="A92" s="18" t="s">
        <v>114</v>
      </c>
      <c r="B92" s="19">
        <v>1</v>
      </c>
    </row>
    <row r="93" spans="1:2" x14ac:dyDescent="0.3">
      <c r="A93" s="18" t="s">
        <v>21</v>
      </c>
      <c r="B93" s="19">
        <v>1</v>
      </c>
    </row>
    <row r="94" spans="1:2" x14ac:dyDescent="0.3">
      <c r="A94" s="18" t="s">
        <v>23</v>
      </c>
      <c r="B94" s="19">
        <v>1</v>
      </c>
    </row>
    <row r="95" spans="1:2" x14ac:dyDescent="0.3">
      <c r="A95" s="18" t="s">
        <v>170</v>
      </c>
      <c r="B95" s="19">
        <v>1</v>
      </c>
    </row>
    <row r="96" spans="1:2" x14ac:dyDescent="0.3">
      <c r="A96" s="18" t="s">
        <v>118</v>
      </c>
      <c r="B96" s="19">
        <v>1</v>
      </c>
    </row>
    <row r="97" spans="1:2" x14ac:dyDescent="0.3">
      <c r="A97" s="18" t="s">
        <v>123</v>
      </c>
      <c r="B97" s="19">
        <v>1</v>
      </c>
    </row>
    <row r="98" spans="1:2" x14ac:dyDescent="0.3">
      <c r="A98" s="18" t="s">
        <v>57</v>
      </c>
      <c r="B98" s="19">
        <v>1</v>
      </c>
    </row>
    <row r="99" spans="1:2" x14ac:dyDescent="0.3">
      <c r="A99" s="18" t="s">
        <v>127</v>
      </c>
      <c r="B99" s="19">
        <v>1</v>
      </c>
    </row>
    <row r="100" spans="1:2" x14ac:dyDescent="0.3">
      <c r="A100" s="18" t="s">
        <v>44</v>
      </c>
      <c r="B100" s="19">
        <v>1</v>
      </c>
    </row>
    <row r="101" spans="1:2" x14ac:dyDescent="0.3">
      <c r="A101" s="18" t="s">
        <v>133</v>
      </c>
      <c r="B101" s="19">
        <v>1</v>
      </c>
    </row>
    <row r="102" spans="1:2" x14ac:dyDescent="0.3">
      <c r="A102" s="18" t="s">
        <v>148</v>
      </c>
      <c r="B102" s="19">
        <v>1</v>
      </c>
    </row>
    <row r="103" spans="1:2" x14ac:dyDescent="0.3">
      <c r="A103" s="18" t="s">
        <v>49</v>
      </c>
      <c r="B103" s="19">
        <v>1</v>
      </c>
    </row>
    <row r="104" spans="1:2" x14ac:dyDescent="0.3">
      <c r="A104" s="18" t="s">
        <v>80</v>
      </c>
      <c r="B104" s="19">
        <v>1</v>
      </c>
    </row>
    <row r="105" spans="1:2" x14ac:dyDescent="0.3">
      <c r="A105" s="18" t="s">
        <v>55</v>
      </c>
      <c r="B105" s="19">
        <v>1</v>
      </c>
    </row>
    <row r="106" spans="1:2" x14ac:dyDescent="0.3">
      <c r="A106" s="18" t="s">
        <v>155</v>
      </c>
      <c r="B106" s="19">
        <v>1</v>
      </c>
    </row>
    <row r="107" spans="1:2" x14ac:dyDescent="0.3">
      <c r="A107" s="18" t="s">
        <v>145</v>
      </c>
      <c r="B107" s="19">
        <v>1</v>
      </c>
    </row>
    <row r="108" spans="1:2" x14ac:dyDescent="0.3">
      <c r="A108" s="18" t="s">
        <v>69</v>
      </c>
      <c r="B108" s="19">
        <v>1</v>
      </c>
    </row>
    <row r="109" spans="1:2" x14ac:dyDescent="0.3">
      <c r="A109" s="18" t="s">
        <v>164</v>
      </c>
      <c r="B109" s="19">
        <v>1</v>
      </c>
    </row>
    <row r="110" spans="1:2" x14ac:dyDescent="0.3">
      <c r="A110" s="18" t="s">
        <v>136</v>
      </c>
      <c r="B110" s="19">
        <v>1</v>
      </c>
    </row>
    <row r="111" spans="1:2" x14ac:dyDescent="0.3">
      <c r="A111" s="18" t="s">
        <v>78</v>
      </c>
      <c r="B111" s="19">
        <v>1</v>
      </c>
    </row>
    <row r="112" spans="1:2" x14ac:dyDescent="0.3">
      <c r="A112" s="18" t="s">
        <v>110</v>
      </c>
      <c r="B112" s="19">
        <v>1</v>
      </c>
    </row>
    <row r="113" spans="1:2" x14ac:dyDescent="0.3">
      <c r="A113" s="18" t="s">
        <v>48</v>
      </c>
      <c r="B113" s="19">
        <v>1</v>
      </c>
    </row>
    <row r="114" spans="1:2" x14ac:dyDescent="0.3">
      <c r="A114" s="18" t="s">
        <v>53</v>
      </c>
      <c r="B114" s="19">
        <v>1</v>
      </c>
    </row>
    <row r="115" spans="1:2" x14ac:dyDescent="0.3">
      <c r="A115" s="18" t="s">
        <v>70</v>
      </c>
      <c r="B115" s="19">
        <v>1</v>
      </c>
    </row>
    <row r="116" spans="1:2" x14ac:dyDescent="0.3">
      <c r="A116" s="18" t="s">
        <v>171</v>
      </c>
      <c r="B116" s="19">
        <v>1</v>
      </c>
    </row>
    <row r="117" spans="1:2" x14ac:dyDescent="0.3">
      <c r="A117" s="18" t="s">
        <v>151</v>
      </c>
      <c r="B117" s="19">
        <v>1</v>
      </c>
    </row>
    <row r="118" spans="1:2" x14ac:dyDescent="0.3">
      <c r="A118" s="18" t="s">
        <v>14</v>
      </c>
      <c r="B118" s="19">
        <v>1</v>
      </c>
    </row>
    <row r="119" spans="1:2" x14ac:dyDescent="0.3">
      <c r="A119" s="18" t="s">
        <v>100</v>
      </c>
      <c r="B119" s="19">
        <v>1</v>
      </c>
    </row>
    <row r="120" spans="1:2" x14ac:dyDescent="0.3">
      <c r="A120" s="18" t="s">
        <v>72</v>
      </c>
      <c r="B120" s="19">
        <v>1</v>
      </c>
    </row>
    <row r="121" spans="1:2" x14ac:dyDescent="0.3">
      <c r="A121" s="18" t="s">
        <v>17</v>
      </c>
      <c r="B121" s="19"/>
    </row>
    <row r="122" spans="1:2" x14ac:dyDescent="0.3">
      <c r="A122" s="18" t="s">
        <v>56</v>
      </c>
      <c r="B122" s="19">
        <v>1</v>
      </c>
    </row>
    <row r="123" spans="1:2" x14ac:dyDescent="0.3">
      <c r="A123" s="18" t="s">
        <v>158</v>
      </c>
      <c r="B123" s="19">
        <v>1</v>
      </c>
    </row>
    <row r="124" spans="1:2" x14ac:dyDescent="0.3">
      <c r="A124" s="18" t="s">
        <v>35</v>
      </c>
      <c r="B124" s="19">
        <v>1</v>
      </c>
    </row>
    <row r="125" spans="1:2" x14ac:dyDescent="0.3">
      <c r="A125" s="18" t="s">
        <v>97</v>
      </c>
      <c r="B125" s="19">
        <v>1</v>
      </c>
    </row>
    <row r="126" spans="1:2" x14ac:dyDescent="0.3">
      <c r="A126" s="18" t="s">
        <v>16</v>
      </c>
      <c r="B126" s="19">
        <v>1</v>
      </c>
    </row>
    <row r="127" spans="1:2" x14ac:dyDescent="0.3">
      <c r="A127" s="18" t="s">
        <v>28</v>
      </c>
      <c r="B127" s="19">
        <v>1</v>
      </c>
    </row>
    <row r="128" spans="1:2" x14ac:dyDescent="0.3">
      <c r="A128" s="18" t="s">
        <v>41</v>
      </c>
      <c r="B128" s="19">
        <v>1</v>
      </c>
    </row>
    <row r="129" spans="1:2" x14ac:dyDescent="0.3">
      <c r="A129" s="18" t="s">
        <v>111</v>
      </c>
      <c r="B129" s="19">
        <v>1</v>
      </c>
    </row>
    <row r="130" spans="1:2" x14ac:dyDescent="0.3">
      <c r="A130" s="18" t="s">
        <v>29</v>
      </c>
      <c r="B130" s="19">
        <v>1</v>
      </c>
    </row>
    <row r="131" spans="1:2" x14ac:dyDescent="0.3">
      <c r="A131" s="18" t="s">
        <v>132</v>
      </c>
      <c r="B131" s="19">
        <v>1</v>
      </c>
    </row>
    <row r="132" spans="1:2" x14ac:dyDescent="0.3">
      <c r="A132" s="18" t="s">
        <v>161</v>
      </c>
      <c r="B132" s="19">
        <v>1</v>
      </c>
    </row>
    <row r="133" spans="1:2" x14ac:dyDescent="0.3">
      <c r="A133" s="18" t="s">
        <v>38</v>
      </c>
      <c r="B133" s="19">
        <v>1</v>
      </c>
    </row>
    <row r="134" spans="1:2" x14ac:dyDescent="0.3">
      <c r="A134" s="18" t="s">
        <v>124</v>
      </c>
      <c r="B134" s="19">
        <v>1</v>
      </c>
    </row>
    <row r="135" spans="1:2" x14ac:dyDescent="0.3">
      <c r="A135" s="18" t="s">
        <v>64</v>
      </c>
      <c r="B135" s="19">
        <v>1</v>
      </c>
    </row>
    <row r="136" spans="1:2" x14ac:dyDescent="0.3">
      <c r="A136" s="18" t="s">
        <v>63</v>
      </c>
      <c r="B136" s="19">
        <v>1</v>
      </c>
    </row>
    <row r="137" spans="1:2" x14ac:dyDescent="0.3">
      <c r="A137" s="18" t="s">
        <v>137</v>
      </c>
      <c r="B137" s="19">
        <v>1</v>
      </c>
    </row>
    <row r="138" spans="1:2" x14ac:dyDescent="0.3">
      <c r="A138" s="18" t="s">
        <v>374</v>
      </c>
      <c r="B138" s="19"/>
    </row>
    <row r="139" spans="1:2" x14ac:dyDescent="0.3">
      <c r="A139" s="18" t="s">
        <v>380</v>
      </c>
      <c r="B139" s="19"/>
    </row>
    <row r="140" spans="1:2" x14ac:dyDescent="0.3">
      <c r="A140" s="18" t="s">
        <v>376</v>
      </c>
      <c r="B140" s="19"/>
    </row>
    <row r="141" spans="1:2" x14ac:dyDescent="0.3">
      <c r="A141" s="18" t="s">
        <v>98</v>
      </c>
      <c r="B141" s="19">
        <v>1</v>
      </c>
    </row>
    <row r="142" spans="1:2" x14ac:dyDescent="0.3">
      <c r="A142" s="18" t="s">
        <v>42</v>
      </c>
      <c r="B142" s="19">
        <v>1</v>
      </c>
    </row>
    <row r="143" spans="1:2" x14ac:dyDescent="0.3">
      <c r="A143" s="18" t="s">
        <v>384</v>
      </c>
      <c r="B143" s="19"/>
    </row>
    <row r="144" spans="1:2" x14ac:dyDescent="0.3">
      <c r="A144" s="18" t="s">
        <v>385</v>
      </c>
      <c r="B144" s="19"/>
    </row>
    <row r="145" spans="1:2" x14ac:dyDescent="0.3">
      <c r="A145" s="18" t="s">
        <v>135</v>
      </c>
      <c r="B145" s="19">
        <v>1</v>
      </c>
    </row>
    <row r="146" spans="1:2" x14ac:dyDescent="0.3">
      <c r="A146" s="18" t="s">
        <v>46</v>
      </c>
      <c r="B146" s="19">
        <v>1</v>
      </c>
    </row>
    <row r="147" spans="1:2" x14ac:dyDescent="0.3">
      <c r="A147" s="18" t="s">
        <v>163</v>
      </c>
      <c r="B147" s="19">
        <v>1</v>
      </c>
    </row>
    <row r="148" spans="1:2" x14ac:dyDescent="0.3">
      <c r="A148" s="18" t="s">
        <v>26</v>
      </c>
      <c r="B148" s="19">
        <v>1</v>
      </c>
    </row>
    <row r="149" spans="1:2" x14ac:dyDescent="0.3">
      <c r="A149" s="18" t="s">
        <v>103</v>
      </c>
      <c r="B149" s="19">
        <v>1</v>
      </c>
    </row>
    <row r="150" spans="1:2" x14ac:dyDescent="0.3">
      <c r="A150" s="18" t="s">
        <v>96</v>
      </c>
      <c r="B150" s="19">
        <v>1</v>
      </c>
    </row>
    <row r="151" spans="1:2" x14ac:dyDescent="0.3">
      <c r="A151" s="18" t="s">
        <v>107</v>
      </c>
      <c r="B151" s="19">
        <v>1</v>
      </c>
    </row>
    <row r="152" spans="1:2" x14ac:dyDescent="0.3">
      <c r="A152" s="18" t="s">
        <v>108</v>
      </c>
      <c r="B152" s="19">
        <v>1</v>
      </c>
    </row>
    <row r="153" spans="1:2" x14ac:dyDescent="0.3">
      <c r="A153" s="18" t="s">
        <v>68</v>
      </c>
      <c r="B153" s="19">
        <v>1</v>
      </c>
    </row>
    <row r="154" spans="1:2" x14ac:dyDescent="0.3">
      <c r="A154" s="18" t="s">
        <v>372</v>
      </c>
      <c r="B154" s="19"/>
    </row>
    <row r="155" spans="1:2" x14ac:dyDescent="0.3">
      <c r="A155" s="18" t="s">
        <v>378</v>
      </c>
      <c r="B155" s="19"/>
    </row>
    <row r="156" spans="1:2" x14ac:dyDescent="0.3">
      <c r="A156" s="18" t="s">
        <v>73</v>
      </c>
      <c r="B156" s="19">
        <v>1</v>
      </c>
    </row>
    <row r="157" spans="1:2" x14ac:dyDescent="0.3">
      <c r="A157" s="18" t="s">
        <v>117</v>
      </c>
      <c r="B157" s="19">
        <v>1</v>
      </c>
    </row>
    <row r="158" spans="1:2" x14ac:dyDescent="0.3">
      <c r="A158" s="18" t="s">
        <v>371</v>
      </c>
      <c r="B158" s="19"/>
    </row>
    <row r="159" spans="1:2" x14ac:dyDescent="0.3">
      <c r="A159" s="18" t="s">
        <v>37</v>
      </c>
      <c r="B159" s="19">
        <v>1</v>
      </c>
    </row>
    <row r="160" spans="1:2" x14ac:dyDescent="0.3">
      <c r="A160" s="18" t="s">
        <v>88</v>
      </c>
      <c r="B160" s="19">
        <v>1</v>
      </c>
    </row>
    <row r="161" spans="1:2" x14ac:dyDescent="0.3">
      <c r="A161" s="18" t="s">
        <v>77</v>
      </c>
      <c r="B161" s="19">
        <v>1</v>
      </c>
    </row>
    <row r="162" spans="1:2" x14ac:dyDescent="0.3">
      <c r="A162" s="18" t="s">
        <v>122</v>
      </c>
      <c r="B162" s="19">
        <v>1</v>
      </c>
    </row>
    <row r="163" spans="1:2" x14ac:dyDescent="0.3">
      <c r="A163" s="18" t="s">
        <v>76</v>
      </c>
      <c r="B163" s="19">
        <v>1</v>
      </c>
    </row>
    <row r="164" spans="1:2" x14ac:dyDescent="0.3">
      <c r="A164" s="18" t="s">
        <v>109</v>
      </c>
      <c r="B164" s="19">
        <v>1</v>
      </c>
    </row>
    <row r="165" spans="1:2" x14ac:dyDescent="0.3">
      <c r="A165" s="18" t="s">
        <v>71</v>
      </c>
      <c r="B165" s="19">
        <v>1</v>
      </c>
    </row>
    <row r="166" spans="1:2" x14ac:dyDescent="0.3">
      <c r="A166" s="18" t="s">
        <v>84</v>
      </c>
      <c r="B166" s="19">
        <v>1</v>
      </c>
    </row>
    <row r="167" spans="1:2" x14ac:dyDescent="0.3">
      <c r="A167" s="18" t="s">
        <v>106</v>
      </c>
      <c r="B167" s="19">
        <v>1</v>
      </c>
    </row>
    <row r="168" spans="1:2" x14ac:dyDescent="0.3">
      <c r="A168" s="18" t="s">
        <v>369</v>
      </c>
      <c r="B168" s="19"/>
    </row>
    <row r="169" spans="1:2" x14ac:dyDescent="0.3">
      <c r="A169" s="18" t="s">
        <v>54</v>
      </c>
      <c r="B169" s="19">
        <v>1</v>
      </c>
    </row>
    <row r="170" spans="1:2" x14ac:dyDescent="0.3">
      <c r="A170" s="18" t="s">
        <v>60</v>
      </c>
      <c r="B170" s="19">
        <v>1</v>
      </c>
    </row>
    <row r="171" spans="1:2" x14ac:dyDescent="0.3">
      <c r="A171" s="18" t="s">
        <v>126</v>
      </c>
      <c r="B171" s="19">
        <v>1</v>
      </c>
    </row>
    <row r="172" spans="1:2" x14ac:dyDescent="0.3">
      <c r="A172" s="18" t="s">
        <v>99</v>
      </c>
      <c r="B172" s="19">
        <v>1</v>
      </c>
    </row>
    <row r="173" spans="1:2" x14ac:dyDescent="0.3">
      <c r="A173" s="18" t="s">
        <v>387</v>
      </c>
      <c r="B173" s="19"/>
    </row>
    <row r="174" spans="1:2" x14ac:dyDescent="0.3">
      <c r="A174" s="18" t="s">
        <v>388</v>
      </c>
      <c r="B174" s="19">
        <v>158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4"/>
  <sheetViews>
    <sheetView topLeftCell="A148" zoomScale="55" workbookViewId="0">
      <selection activeCell="P1" sqref="P1"/>
    </sheetView>
  </sheetViews>
  <sheetFormatPr defaultRowHeight="14.4" x14ac:dyDescent="0.3"/>
  <cols>
    <col min="2" max="2" width="45.109375" bestFit="1" customWidth="1"/>
    <col min="3" max="3" width="6.88671875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346</v>
      </c>
      <c r="P1" t="s">
        <v>347</v>
      </c>
      <c r="Q1" t="s">
        <v>348</v>
      </c>
      <c r="R1" t="s">
        <v>351</v>
      </c>
      <c r="S1" t="s">
        <v>365</v>
      </c>
      <c r="T1" t="s">
        <v>366</v>
      </c>
    </row>
    <row r="2" spans="1:20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>AVERAGE(H2,N2,O2)</f>
        <v>10</v>
      </c>
      <c r="Q2" s="13" t="s">
        <v>349</v>
      </c>
      <c r="R2" s="14" t="s">
        <v>352</v>
      </c>
      <c r="T2" t="s">
        <v>367</v>
      </c>
    </row>
    <row r="3" spans="1:20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  <c r="P3">
        <f>AVERAGE(H3,N3,O3)</f>
        <v>7</v>
      </c>
      <c r="Q3" s="14" t="s">
        <v>350</v>
      </c>
      <c r="R3" s="14" t="s">
        <v>353</v>
      </c>
      <c r="S3" t="s">
        <v>365</v>
      </c>
      <c r="T3">
        <v>11</v>
      </c>
    </row>
    <row r="4" spans="1:20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  <c r="P4">
        <f>AVERAGE(H4,N4,O4)</f>
        <v>7.666666666666667</v>
      </c>
      <c r="Q4" s="14" t="s">
        <v>350</v>
      </c>
      <c r="R4" s="14" t="s">
        <v>354</v>
      </c>
      <c r="S4" t="s">
        <v>365</v>
      </c>
      <c r="T4">
        <v>9</v>
      </c>
    </row>
    <row r="5" spans="1:20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  <c r="P5" s="2">
        <f>AVERAGE(H5,N5,O5)</f>
        <v>10.666666666666666</v>
      </c>
      <c r="Q5" s="13" t="s">
        <v>349</v>
      </c>
      <c r="R5" s="14" t="s">
        <v>355</v>
      </c>
      <c r="T5" s="2" t="s">
        <v>367</v>
      </c>
    </row>
    <row r="6" spans="1:20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  <c r="P6">
        <f>AVERAGE(H6,N6,O6)</f>
        <v>8</v>
      </c>
      <c r="Q6" s="14" t="s">
        <v>350</v>
      </c>
      <c r="R6" s="14" t="s">
        <v>356</v>
      </c>
      <c r="S6" t="s">
        <v>365</v>
      </c>
      <c r="T6">
        <v>8</v>
      </c>
    </row>
    <row r="7" spans="1:20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  <c r="P7">
        <f>AVERAGE(H7,N7,O7)</f>
        <v>10</v>
      </c>
      <c r="Q7" s="13" t="s">
        <v>349</v>
      </c>
      <c r="R7" s="14" t="s">
        <v>353</v>
      </c>
      <c r="T7" t="s">
        <v>367</v>
      </c>
    </row>
    <row r="8" spans="1:20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  <c r="P8">
        <f>AVERAGE(H8,N8,O8)</f>
        <v>7.666666666666667</v>
      </c>
      <c r="Q8" s="14" t="s">
        <v>350</v>
      </c>
      <c r="R8" s="14" t="s">
        <v>354</v>
      </c>
      <c r="S8" t="s">
        <v>365</v>
      </c>
      <c r="T8">
        <v>9</v>
      </c>
    </row>
    <row r="9" spans="1:20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  <c r="P9">
        <f>AVERAGE(H9,N9,O9)</f>
        <v>11</v>
      </c>
      <c r="Q9" s="13" t="s">
        <v>349</v>
      </c>
      <c r="R9" s="14" t="s">
        <v>357</v>
      </c>
      <c r="T9" t="s">
        <v>367</v>
      </c>
    </row>
    <row r="10" spans="1:20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  <c r="P10" s="2">
        <f>AVERAGE(H10,N10,O10)</f>
        <v>10.333333333333334</v>
      </c>
      <c r="Q10" s="13" t="s">
        <v>349</v>
      </c>
      <c r="R10" s="14" t="s">
        <v>355</v>
      </c>
      <c r="T10" s="2" t="s">
        <v>367</v>
      </c>
    </row>
    <row r="11" spans="1:20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  <c r="P11">
        <f>AVERAGE(H11,N11,O11)</f>
        <v>9</v>
      </c>
      <c r="Q11" s="14" t="s">
        <v>350</v>
      </c>
      <c r="R11" s="14" t="s">
        <v>358</v>
      </c>
      <c r="S11" t="s">
        <v>365</v>
      </c>
      <c r="T11">
        <v>5</v>
      </c>
    </row>
    <row r="12" spans="1:20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  <c r="P12">
        <f>AVERAGE(H12,N12,O12)</f>
        <v>11</v>
      </c>
      <c r="Q12" s="13" t="s">
        <v>349</v>
      </c>
      <c r="R12" s="14" t="s">
        <v>359</v>
      </c>
      <c r="T12" t="s">
        <v>367</v>
      </c>
    </row>
    <row r="13" spans="1:20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  <c r="P13">
        <f>AVERAGE(H13,N13,O13)</f>
        <v>11.333333333333334</v>
      </c>
      <c r="Q13" s="13" t="s">
        <v>349</v>
      </c>
      <c r="R13" s="14" t="s">
        <v>357</v>
      </c>
      <c r="T13" t="s">
        <v>367</v>
      </c>
    </row>
    <row r="14" spans="1:20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  <c r="P14">
        <f>AVERAGE(H14,N14,O14)</f>
        <v>11</v>
      </c>
      <c r="Q14" s="13" t="s">
        <v>349</v>
      </c>
      <c r="R14" s="14" t="s">
        <v>352</v>
      </c>
      <c r="T14" t="s">
        <v>367</v>
      </c>
    </row>
    <row r="15" spans="1:20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  <c r="P15">
        <f>AVERAGE(H15,N15,O15)</f>
        <v>8.3333333333333339</v>
      </c>
      <c r="Q15" s="14" t="s">
        <v>350</v>
      </c>
      <c r="R15" s="14" t="s">
        <v>356</v>
      </c>
      <c r="S15" t="s">
        <v>365</v>
      </c>
      <c r="T15">
        <v>7</v>
      </c>
    </row>
    <row r="16" spans="1:20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  <c r="P16">
        <f>AVERAGE(H16,N16,O16)</f>
        <v>11.666666666666666</v>
      </c>
      <c r="Q16" s="13" t="s">
        <v>349</v>
      </c>
      <c r="R16" s="14" t="s">
        <v>352</v>
      </c>
      <c r="T16" t="s">
        <v>367</v>
      </c>
    </row>
    <row r="17" spans="1:20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  <c r="P17">
        <f>AVERAGE(H17,N17,O17)</f>
        <v>7.666666666666667</v>
      </c>
      <c r="Q17" s="14" t="s">
        <v>350</v>
      </c>
      <c r="R17" s="14" t="s">
        <v>360</v>
      </c>
      <c r="S17" t="s">
        <v>365</v>
      </c>
      <c r="T17">
        <v>9</v>
      </c>
    </row>
    <row r="18" spans="1:20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  <c r="P18">
        <f>AVERAGE(H18,N18,O18)</f>
        <v>10.666666666666666</v>
      </c>
      <c r="Q18" s="13" t="s">
        <v>349</v>
      </c>
      <c r="R18" s="14" t="s">
        <v>359</v>
      </c>
      <c r="T18" t="s">
        <v>367</v>
      </c>
    </row>
    <row r="19" spans="1:20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  <c r="P19">
        <f>AVERAGE(H19,N19,O19)</f>
        <v>8</v>
      </c>
      <c r="Q19" s="14" t="s">
        <v>350</v>
      </c>
      <c r="R19" s="14" t="s">
        <v>356</v>
      </c>
      <c r="S19" t="s">
        <v>365</v>
      </c>
      <c r="T19">
        <v>8</v>
      </c>
    </row>
    <row r="20" spans="1:20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  <c r="P20">
        <f>AVERAGE(H20,N20,O20)</f>
        <v>12</v>
      </c>
      <c r="Q20" s="13" t="s">
        <v>349</v>
      </c>
      <c r="R20" s="14" t="s">
        <v>355</v>
      </c>
      <c r="T20" t="s">
        <v>367</v>
      </c>
    </row>
    <row r="21" spans="1:20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  <c r="P21">
        <f>AVERAGE(H21,N21,O21)</f>
        <v>11.333333333333334</v>
      </c>
      <c r="Q21" s="13" t="s">
        <v>349</v>
      </c>
      <c r="R21" s="14" t="s">
        <v>359</v>
      </c>
      <c r="T21" t="s">
        <v>367</v>
      </c>
    </row>
    <row r="22" spans="1:20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  <c r="P22" s="2">
        <f>AVERAGE(H22,N22,O22)</f>
        <v>8</v>
      </c>
      <c r="Q22" s="14" t="s">
        <v>350</v>
      </c>
      <c r="R22" s="14" t="s">
        <v>358</v>
      </c>
      <c r="S22" s="2" t="s">
        <v>365</v>
      </c>
      <c r="T22" s="2">
        <v>8</v>
      </c>
    </row>
    <row r="23" spans="1:20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  <c r="P23">
        <f>AVERAGE(H23,N23,O23)</f>
        <v>9</v>
      </c>
      <c r="Q23" s="14" t="s">
        <v>350</v>
      </c>
      <c r="R23" s="14" t="s">
        <v>360</v>
      </c>
      <c r="S23" t="s">
        <v>365</v>
      </c>
      <c r="T23">
        <v>5</v>
      </c>
    </row>
    <row r="24" spans="1:20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  <c r="P24">
        <f>AVERAGE(H24,N24,O24)</f>
        <v>9.6666666666666661</v>
      </c>
      <c r="Q24" s="14" t="s">
        <v>350</v>
      </c>
      <c r="R24" s="14" t="s">
        <v>354</v>
      </c>
      <c r="S24" t="s">
        <v>365</v>
      </c>
      <c r="T24">
        <v>3</v>
      </c>
    </row>
    <row r="25" spans="1:20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  <c r="P25">
        <f>AVERAGE(H25,N25,O25)</f>
        <v>8.6666666666666661</v>
      </c>
      <c r="Q25" s="14" t="s">
        <v>350</v>
      </c>
      <c r="R25" s="14" t="s">
        <v>361</v>
      </c>
      <c r="S25" t="s">
        <v>365</v>
      </c>
      <c r="T25">
        <v>6</v>
      </c>
    </row>
    <row r="26" spans="1:20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  <c r="P26">
        <f>AVERAGE(H26,N26,O26)</f>
        <v>11.333333333333334</v>
      </c>
      <c r="Q26" s="13" t="s">
        <v>349</v>
      </c>
      <c r="R26" s="14" t="s">
        <v>352</v>
      </c>
      <c r="T26" t="s">
        <v>367</v>
      </c>
    </row>
    <row r="27" spans="1:20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  <c r="P27">
        <f>AVERAGE(H27,N27,O27)</f>
        <v>7</v>
      </c>
      <c r="Q27" s="14" t="s">
        <v>350</v>
      </c>
      <c r="R27" s="14" t="s">
        <v>356</v>
      </c>
      <c r="S27" t="s">
        <v>365</v>
      </c>
      <c r="T27">
        <v>11</v>
      </c>
    </row>
    <row r="28" spans="1:20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  <c r="P28">
        <f>AVERAGE(H28,N28,O28)</f>
        <v>8</v>
      </c>
      <c r="Q28" s="14" t="s">
        <v>350</v>
      </c>
      <c r="R28" s="14" t="s">
        <v>353</v>
      </c>
      <c r="S28" t="s">
        <v>365</v>
      </c>
      <c r="T28">
        <v>8</v>
      </c>
    </row>
    <row r="29" spans="1:20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  <c r="P29" s="2">
        <f>AVERAGE(H29,N29,O29)</f>
        <v>9.3333333333333339</v>
      </c>
      <c r="Q29" s="14" t="s">
        <v>350</v>
      </c>
      <c r="R29" s="14" t="s">
        <v>357</v>
      </c>
      <c r="S29" s="2" t="s">
        <v>365</v>
      </c>
      <c r="T29" s="2">
        <v>4</v>
      </c>
    </row>
    <row r="30" spans="1:20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  <c r="P30" s="2">
        <f>AVERAGE(H30,N30,O30)</f>
        <v>10.333333333333334</v>
      </c>
      <c r="Q30" s="13" t="s">
        <v>349</v>
      </c>
      <c r="R30" s="14" t="s">
        <v>357</v>
      </c>
      <c r="T30" s="2" t="s">
        <v>367</v>
      </c>
    </row>
    <row r="31" spans="1:20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  <c r="P31">
        <f>AVERAGE(H31,N31,O31)</f>
        <v>10.333333333333334</v>
      </c>
      <c r="Q31" s="13" t="s">
        <v>349</v>
      </c>
      <c r="R31" s="14" t="s">
        <v>359</v>
      </c>
      <c r="T31" t="s">
        <v>367</v>
      </c>
    </row>
    <row r="32" spans="1:20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  <c r="P32" s="2">
        <f>AVERAGE(H32,N32,O32)</f>
        <v>7.666666666666667</v>
      </c>
      <c r="Q32" s="14" t="s">
        <v>350</v>
      </c>
      <c r="R32" s="14" t="s">
        <v>358</v>
      </c>
      <c r="S32" s="2" t="s">
        <v>365</v>
      </c>
      <c r="T32" s="2">
        <v>9</v>
      </c>
    </row>
    <row r="33" spans="1:20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  <c r="P33">
        <f>AVERAGE(H33,N33,O33)</f>
        <v>8</v>
      </c>
      <c r="Q33" s="14" t="s">
        <v>350</v>
      </c>
      <c r="R33" s="14" t="s">
        <v>360</v>
      </c>
      <c r="S33" t="s">
        <v>365</v>
      </c>
      <c r="T33">
        <v>8</v>
      </c>
    </row>
    <row r="34" spans="1:20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  <c r="P34">
        <f>AVERAGE(H34,N34,O34)</f>
        <v>9</v>
      </c>
      <c r="Q34" s="14" t="s">
        <v>350</v>
      </c>
      <c r="R34" s="14" t="s">
        <v>362</v>
      </c>
      <c r="S34" t="s">
        <v>365</v>
      </c>
      <c r="T34">
        <v>5</v>
      </c>
    </row>
    <row r="35" spans="1:20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  <c r="P35">
        <f>AVERAGE(H35,N35,O35)</f>
        <v>11</v>
      </c>
      <c r="Q35" s="13" t="s">
        <v>349</v>
      </c>
      <c r="R35" s="14" t="s">
        <v>352</v>
      </c>
      <c r="T35" t="s">
        <v>367</v>
      </c>
    </row>
    <row r="36" spans="1:20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  <c r="P36" s="2">
        <f>AVERAGE(H36,N36,O36)</f>
        <v>8.6666666666666661</v>
      </c>
      <c r="Q36" s="14" t="s">
        <v>350</v>
      </c>
      <c r="R36" s="14" t="s">
        <v>352</v>
      </c>
      <c r="S36" s="2" t="s">
        <v>365</v>
      </c>
      <c r="T36" s="2">
        <v>6</v>
      </c>
    </row>
    <row r="37" spans="1:20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  <c r="P37" s="2">
        <f>AVERAGE(H37,N37,O37)</f>
        <v>9.6666666666666661</v>
      </c>
      <c r="Q37" s="14" t="s">
        <v>350</v>
      </c>
      <c r="R37" s="14" t="s">
        <v>359</v>
      </c>
      <c r="S37" s="2" t="s">
        <v>365</v>
      </c>
      <c r="T37" s="2">
        <v>3</v>
      </c>
    </row>
    <row r="38" spans="1:20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  <c r="P38">
        <f>AVERAGE(H38,N38,O38)</f>
        <v>7.333333333333333</v>
      </c>
      <c r="Q38" s="14" t="s">
        <v>350</v>
      </c>
      <c r="R38" s="14" t="s">
        <v>363</v>
      </c>
      <c r="S38" t="s">
        <v>365</v>
      </c>
      <c r="T38">
        <v>10</v>
      </c>
    </row>
    <row r="39" spans="1:20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  <c r="P39">
        <f>AVERAGE(H39,N39,O39)</f>
        <v>9.3333333333333339</v>
      </c>
      <c r="Q39" s="14" t="s">
        <v>350</v>
      </c>
      <c r="R39" s="14" t="s">
        <v>352</v>
      </c>
      <c r="S39" t="s">
        <v>365</v>
      </c>
      <c r="T39">
        <v>4</v>
      </c>
    </row>
    <row r="40" spans="1:20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  <c r="P40">
        <f>AVERAGE(H40,N40,O40)</f>
        <v>10</v>
      </c>
      <c r="Q40" s="13" t="s">
        <v>349</v>
      </c>
      <c r="R40" s="14" t="s">
        <v>358</v>
      </c>
      <c r="T40" t="s">
        <v>367</v>
      </c>
    </row>
    <row r="41" spans="1:20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  <c r="P41" s="2">
        <f>AVERAGE(H41,N41,O41)</f>
        <v>9.3333333333333339</v>
      </c>
      <c r="Q41" s="14" t="s">
        <v>350</v>
      </c>
      <c r="R41" s="14" t="s">
        <v>357</v>
      </c>
      <c r="S41" s="2" t="s">
        <v>365</v>
      </c>
      <c r="T41" s="2">
        <v>4</v>
      </c>
    </row>
    <row r="42" spans="1:20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  <c r="P42" s="2">
        <f>AVERAGE(H42,N42,O42)</f>
        <v>8</v>
      </c>
      <c r="Q42" s="14" t="s">
        <v>350</v>
      </c>
      <c r="R42" s="14" t="s">
        <v>358</v>
      </c>
      <c r="S42" s="2" t="s">
        <v>365</v>
      </c>
      <c r="T42" s="2">
        <v>8</v>
      </c>
    </row>
    <row r="43" spans="1:20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  <c r="P43">
        <f>AVERAGE(H43,N43,O43)</f>
        <v>11.666666666666666</v>
      </c>
      <c r="Q43" s="13" t="s">
        <v>349</v>
      </c>
      <c r="R43" s="14" t="s">
        <v>359</v>
      </c>
      <c r="T43" t="s">
        <v>367</v>
      </c>
    </row>
    <row r="44" spans="1:20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  <c r="P44">
        <f>AVERAGE(H44,N44,O44)</f>
        <v>9</v>
      </c>
      <c r="Q44" s="14" t="s">
        <v>350</v>
      </c>
      <c r="R44" s="14" t="s">
        <v>361</v>
      </c>
      <c r="S44" t="s">
        <v>365</v>
      </c>
      <c r="T44">
        <v>5</v>
      </c>
    </row>
    <row r="45" spans="1:20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  <c r="P45" s="2">
        <f>AVERAGE(H45,N45,O45)</f>
        <v>7.666666666666667</v>
      </c>
      <c r="Q45" s="14" t="s">
        <v>350</v>
      </c>
      <c r="R45" s="14" t="s">
        <v>358</v>
      </c>
      <c r="S45" s="2" t="s">
        <v>365</v>
      </c>
      <c r="T45" s="2">
        <v>9</v>
      </c>
    </row>
    <row r="46" spans="1:20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  <c r="P46">
        <f>AVERAGE(H46,N46,O46)</f>
        <v>13</v>
      </c>
      <c r="Q46" s="13" t="s">
        <v>349</v>
      </c>
      <c r="R46" s="14" t="s">
        <v>355</v>
      </c>
      <c r="T46" t="s">
        <v>367</v>
      </c>
    </row>
    <row r="47" spans="1:20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  <c r="P47">
        <f>AVERAGE(H47,N47,O47)</f>
        <v>9.6666666666666661</v>
      </c>
      <c r="Q47" s="14" t="s">
        <v>350</v>
      </c>
      <c r="R47" s="14" t="s">
        <v>352</v>
      </c>
      <c r="S47" t="s">
        <v>365</v>
      </c>
      <c r="T47">
        <v>3</v>
      </c>
    </row>
    <row r="48" spans="1:20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  <c r="P48">
        <f>AVERAGE(H48,N48,O48)</f>
        <v>10.666666666666666</v>
      </c>
      <c r="Q48" s="13" t="s">
        <v>349</v>
      </c>
      <c r="R48" s="14" t="s">
        <v>352</v>
      </c>
      <c r="T48" t="s">
        <v>367</v>
      </c>
    </row>
    <row r="49" spans="1:20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  <c r="P49">
        <f>AVERAGE(H49,N49,O49)</f>
        <v>7.666666666666667</v>
      </c>
      <c r="Q49" s="14" t="s">
        <v>350</v>
      </c>
      <c r="R49" s="14" t="s">
        <v>354</v>
      </c>
      <c r="S49" t="s">
        <v>365</v>
      </c>
      <c r="T49">
        <v>9</v>
      </c>
    </row>
    <row r="50" spans="1:20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  <c r="P50">
        <f>AVERAGE(H50,N50,O50)</f>
        <v>7</v>
      </c>
      <c r="Q50" s="14" t="s">
        <v>350</v>
      </c>
      <c r="R50" s="14" t="s">
        <v>363</v>
      </c>
      <c r="S50" t="s">
        <v>365</v>
      </c>
      <c r="T50">
        <v>11</v>
      </c>
    </row>
    <row r="51" spans="1:20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  <c r="P51">
        <f>AVERAGE(H51,N51,O51)</f>
        <v>9</v>
      </c>
      <c r="Q51" s="14" t="s">
        <v>350</v>
      </c>
      <c r="R51" s="14" t="s">
        <v>354</v>
      </c>
      <c r="S51" t="s">
        <v>365</v>
      </c>
      <c r="T51">
        <v>5</v>
      </c>
    </row>
    <row r="52" spans="1:20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  <c r="P52" s="2">
        <f>AVERAGE(H52,N52,O52)</f>
        <v>9.6666666666666661</v>
      </c>
      <c r="Q52" s="14" t="s">
        <v>350</v>
      </c>
      <c r="R52" s="14" t="s">
        <v>364</v>
      </c>
      <c r="S52" s="2" t="s">
        <v>365</v>
      </c>
      <c r="T52" s="2">
        <v>3</v>
      </c>
    </row>
    <row r="53" spans="1:20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  <c r="P53" s="2">
        <f>AVERAGE(H53,N53,O53)</f>
        <v>9.6666666666666661</v>
      </c>
      <c r="Q53" s="14" t="s">
        <v>350</v>
      </c>
      <c r="R53" s="14" t="s">
        <v>355</v>
      </c>
      <c r="S53" s="2" t="s">
        <v>365</v>
      </c>
      <c r="T53" s="2">
        <v>3</v>
      </c>
    </row>
    <row r="54" spans="1:20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  <c r="P54" s="2">
        <f>AVERAGE(H54,N54,O54)</f>
        <v>7.666666666666667</v>
      </c>
      <c r="Q54" s="14" t="s">
        <v>350</v>
      </c>
      <c r="R54" s="14" t="s">
        <v>358</v>
      </c>
      <c r="S54" s="2" t="s">
        <v>365</v>
      </c>
      <c r="T54" s="2">
        <v>9</v>
      </c>
    </row>
    <row r="55" spans="1:20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  <c r="P55">
        <f>AVERAGE(H55,N55,O55)</f>
        <v>8</v>
      </c>
      <c r="Q55" s="14" t="s">
        <v>350</v>
      </c>
      <c r="R55" s="14" t="s">
        <v>354</v>
      </c>
      <c r="S55" t="s">
        <v>365</v>
      </c>
      <c r="T55">
        <v>8</v>
      </c>
    </row>
    <row r="56" spans="1:20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  <c r="P56">
        <f>AVERAGE(H56,N56,O56)</f>
        <v>9.3333333333333339</v>
      </c>
      <c r="Q56" s="14" t="s">
        <v>350</v>
      </c>
      <c r="R56" s="14" t="s">
        <v>358</v>
      </c>
      <c r="S56" t="s">
        <v>365</v>
      </c>
      <c r="T56">
        <v>4</v>
      </c>
    </row>
    <row r="57" spans="1:20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  <c r="P57">
        <f>AVERAGE(H57,N57,O57)</f>
        <v>9</v>
      </c>
      <c r="Q57" s="14" t="s">
        <v>350</v>
      </c>
      <c r="R57" s="14" t="s">
        <v>360</v>
      </c>
      <c r="S57" t="s">
        <v>365</v>
      </c>
      <c r="T57">
        <v>5</v>
      </c>
    </row>
    <row r="58" spans="1:20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  <c r="P58">
        <f>AVERAGE(H58,N58,O58)</f>
        <v>10</v>
      </c>
      <c r="Q58" s="13" t="s">
        <v>349</v>
      </c>
      <c r="R58" s="14" t="s">
        <v>362</v>
      </c>
      <c r="T58" t="s">
        <v>367</v>
      </c>
    </row>
    <row r="59" spans="1:20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  <c r="P59">
        <f>AVERAGE(H59,N59,O59)</f>
        <v>12</v>
      </c>
      <c r="Q59" s="13" t="s">
        <v>349</v>
      </c>
      <c r="R59" s="14" t="s">
        <v>357</v>
      </c>
      <c r="T59" t="s">
        <v>367</v>
      </c>
    </row>
    <row r="60" spans="1:20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  <c r="P60">
        <f>AVERAGE(H60,N60,O60)</f>
        <v>7</v>
      </c>
      <c r="Q60" s="14" t="s">
        <v>350</v>
      </c>
      <c r="R60" s="14" t="s">
        <v>356</v>
      </c>
      <c r="S60" t="s">
        <v>365</v>
      </c>
      <c r="T60">
        <v>11</v>
      </c>
    </row>
    <row r="61" spans="1:20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  <c r="P61" s="2">
        <f>AVERAGE(H61,N61,O61)</f>
        <v>9.6666666666666661</v>
      </c>
      <c r="Q61" s="14" t="s">
        <v>350</v>
      </c>
      <c r="R61" s="14" t="s">
        <v>357</v>
      </c>
      <c r="S61" s="2" t="s">
        <v>365</v>
      </c>
      <c r="T61" s="2">
        <v>3</v>
      </c>
    </row>
    <row r="62" spans="1:20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  <c r="P62">
        <f>AVERAGE(H62,N62,O62)</f>
        <v>9.6666666666666661</v>
      </c>
      <c r="Q62" s="14" t="s">
        <v>350</v>
      </c>
      <c r="R62" s="14" t="s">
        <v>352</v>
      </c>
      <c r="S62" t="s">
        <v>365</v>
      </c>
      <c r="T62">
        <v>3</v>
      </c>
    </row>
    <row r="63" spans="1:20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  <c r="P63">
        <f>AVERAGE(H63,N63,O63)</f>
        <v>10</v>
      </c>
      <c r="Q63" s="13" t="s">
        <v>349</v>
      </c>
      <c r="R63" s="14" t="s">
        <v>353</v>
      </c>
      <c r="T63" t="s">
        <v>367</v>
      </c>
    </row>
    <row r="64" spans="1:20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  <c r="P64">
        <f>AVERAGE(H64,N64,O64)</f>
        <v>12.333333333333334</v>
      </c>
      <c r="Q64" s="13" t="s">
        <v>349</v>
      </c>
      <c r="R64" s="14" t="s">
        <v>364</v>
      </c>
      <c r="T64" t="s">
        <v>367</v>
      </c>
    </row>
    <row r="65" spans="1:20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  <c r="P65">
        <f>AVERAGE(H65,N65,O65)</f>
        <v>11</v>
      </c>
      <c r="Q65" s="13" t="s">
        <v>349</v>
      </c>
      <c r="R65" s="14" t="s">
        <v>358</v>
      </c>
      <c r="T65" t="s">
        <v>367</v>
      </c>
    </row>
    <row r="66" spans="1:20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  <c r="P66">
        <f>AVERAGE(H66,N66,O66)</f>
        <v>12</v>
      </c>
      <c r="Q66" s="13" t="s">
        <v>349</v>
      </c>
      <c r="R66" s="14" t="s">
        <v>357</v>
      </c>
      <c r="T66" t="s">
        <v>367</v>
      </c>
    </row>
    <row r="67" spans="1:20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  <c r="P67">
        <f>AVERAGE(H67,N67,O67)</f>
        <v>7.666666666666667</v>
      </c>
      <c r="Q67" s="14" t="s">
        <v>350</v>
      </c>
      <c r="R67" s="14" t="s">
        <v>360</v>
      </c>
      <c r="S67" t="s">
        <v>365</v>
      </c>
      <c r="T67">
        <v>9</v>
      </c>
    </row>
    <row r="68" spans="1:20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  <c r="P68" s="2">
        <f>AVERAGE(H68,N68,O68)</f>
        <v>10</v>
      </c>
      <c r="Q68" s="13" t="s">
        <v>349</v>
      </c>
      <c r="R68" s="14" t="s">
        <v>355</v>
      </c>
      <c r="T68" s="2" t="s">
        <v>367</v>
      </c>
    </row>
    <row r="69" spans="1:20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  <c r="P69">
        <f>AVERAGE(H69,N69,O69)</f>
        <v>10.666666666666666</v>
      </c>
      <c r="Q69" s="13" t="s">
        <v>349</v>
      </c>
      <c r="R69" s="14" t="s">
        <v>352</v>
      </c>
      <c r="T69" t="s">
        <v>367</v>
      </c>
    </row>
    <row r="70" spans="1:20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  <c r="P70">
        <f>AVERAGE(H70,N70,O70)</f>
        <v>9.3333333333333339</v>
      </c>
      <c r="Q70" s="14" t="s">
        <v>350</v>
      </c>
      <c r="R70" s="14" t="s">
        <v>363</v>
      </c>
      <c r="S70" t="s">
        <v>365</v>
      </c>
      <c r="T70">
        <v>4</v>
      </c>
    </row>
    <row r="71" spans="1:20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  <c r="P71">
        <f>AVERAGE(H71,N71,O71)</f>
        <v>12.333333333333334</v>
      </c>
      <c r="Q71" s="13" t="s">
        <v>349</v>
      </c>
      <c r="R71" s="14" t="s">
        <v>357</v>
      </c>
      <c r="T71" t="s">
        <v>367</v>
      </c>
    </row>
    <row r="72" spans="1:20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  <c r="P72">
        <f>AVERAGE(H72,N72,O72)</f>
        <v>7.666666666666667</v>
      </c>
      <c r="Q72" s="14" t="s">
        <v>350</v>
      </c>
      <c r="R72" s="14" t="s">
        <v>354</v>
      </c>
      <c r="S72" t="s">
        <v>365</v>
      </c>
      <c r="T72">
        <v>9</v>
      </c>
    </row>
    <row r="73" spans="1:20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  <c r="P73">
        <f>AVERAGE(H73,N73,O73)</f>
        <v>10.666666666666666</v>
      </c>
      <c r="Q73" s="13" t="s">
        <v>349</v>
      </c>
      <c r="R73" s="14" t="s">
        <v>359</v>
      </c>
      <c r="T73" t="s">
        <v>367</v>
      </c>
    </row>
    <row r="74" spans="1:20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  <c r="P74">
        <f>AVERAGE(H74,N74,O74)</f>
        <v>10.333333333333334</v>
      </c>
      <c r="Q74" s="13" t="s">
        <v>349</v>
      </c>
      <c r="R74" s="14" t="s">
        <v>362</v>
      </c>
      <c r="T74" t="s">
        <v>367</v>
      </c>
    </row>
    <row r="75" spans="1:20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  <c r="P75">
        <f>AVERAGE(H75,N75,O75)</f>
        <v>8</v>
      </c>
      <c r="Q75" s="14" t="s">
        <v>350</v>
      </c>
      <c r="R75" s="14" t="s">
        <v>360</v>
      </c>
      <c r="S75" t="s">
        <v>365</v>
      </c>
      <c r="T75">
        <v>8</v>
      </c>
    </row>
    <row r="76" spans="1:20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  <c r="P76">
        <f>AVERAGE(H76,N76,O76)</f>
        <v>6.666666666666667</v>
      </c>
      <c r="Q76" s="14" t="s">
        <v>350</v>
      </c>
      <c r="R76" s="14" t="s">
        <v>354</v>
      </c>
      <c r="S76" t="s">
        <v>365</v>
      </c>
      <c r="T76">
        <v>12</v>
      </c>
    </row>
    <row r="77" spans="1:20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  <c r="P77">
        <f>AVERAGE(H77,N77,O77)</f>
        <v>8</v>
      </c>
      <c r="Q77" s="14" t="s">
        <v>350</v>
      </c>
      <c r="R77" s="14" t="s">
        <v>353</v>
      </c>
      <c r="S77" t="s">
        <v>365</v>
      </c>
      <c r="T77">
        <v>8</v>
      </c>
    </row>
    <row r="78" spans="1:20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  <c r="P78">
        <f>AVERAGE(H78,N78,O78)</f>
        <v>9</v>
      </c>
      <c r="Q78" s="14" t="s">
        <v>350</v>
      </c>
      <c r="R78" s="14" t="s">
        <v>360</v>
      </c>
      <c r="S78" t="s">
        <v>365</v>
      </c>
      <c r="T78">
        <v>5</v>
      </c>
    </row>
    <row r="79" spans="1:20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  <c r="P79">
        <f>AVERAGE(H79,N79,O79)</f>
        <v>9.6666666666666661</v>
      </c>
      <c r="Q79" s="14" t="s">
        <v>350</v>
      </c>
      <c r="R79" s="14" t="s">
        <v>354</v>
      </c>
      <c r="S79" t="s">
        <v>365</v>
      </c>
      <c r="T79">
        <v>3</v>
      </c>
    </row>
    <row r="80" spans="1:20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  <c r="P80">
        <f>AVERAGE(H80,N80,O80)</f>
        <v>10</v>
      </c>
      <c r="Q80" s="13" t="s">
        <v>349</v>
      </c>
      <c r="R80" s="14" t="s">
        <v>354</v>
      </c>
      <c r="T80" t="s">
        <v>367</v>
      </c>
    </row>
    <row r="81" spans="1:20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  <c r="P81">
        <f>AVERAGE(H81,N81,O81)</f>
        <v>9.3333333333333339</v>
      </c>
      <c r="Q81" s="14" t="s">
        <v>350</v>
      </c>
      <c r="R81" s="14" t="s">
        <v>362</v>
      </c>
      <c r="S81" t="s">
        <v>365</v>
      </c>
      <c r="T81">
        <v>4</v>
      </c>
    </row>
    <row r="82" spans="1:20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  <c r="P82">
        <f>AVERAGE(H82,N82,O82)</f>
        <v>10</v>
      </c>
      <c r="Q82" s="13" t="s">
        <v>349</v>
      </c>
      <c r="R82" s="14" t="s">
        <v>359</v>
      </c>
      <c r="T82" t="s">
        <v>367</v>
      </c>
    </row>
    <row r="83" spans="1:20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  <c r="P83">
        <f>AVERAGE(H83,N83,O83)</f>
        <v>10.666666666666666</v>
      </c>
      <c r="Q83" s="13" t="s">
        <v>349</v>
      </c>
      <c r="R83" s="14" t="s">
        <v>359</v>
      </c>
      <c r="T83" t="s">
        <v>367</v>
      </c>
    </row>
    <row r="84" spans="1:20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  <c r="P84">
        <f>AVERAGE(H84,N84,O84)</f>
        <v>10</v>
      </c>
      <c r="Q84" s="13" t="s">
        <v>349</v>
      </c>
      <c r="R84" s="14" t="s">
        <v>359</v>
      </c>
      <c r="T84" t="s">
        <v>367</v>
      </c>
    </row>
    <row r="85" spans="1:20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  <c r="P85">
        <f>AVERAGE(H85,N85,O85)</f>
        <v>9.3333333333333339</v>
      </c>
      <c r="Q85" s="14" t="s">
        <v>350</v>
      </c>
      <c r="R85" s="14" t="s">
        <v>362</v>
      </c>
      <c r="S85" t="s">
        <v>365</v>
      </c>
      <c r="T85">
        <v>4</v>
      </c>
    </row>
    <row r="86" spans="1:20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4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  <c r="P86">
        <f>AVERAGE(H86,N86,O86)</f>
        <v>7.666666666666667</v>
      </c>
      <c r="Q86" s="14" t="s">
        <v>350</v>
      </c>
      <c r="R86" s="14" t="s">
        <v>354</v>
      </c>
      <c r="S86" t="s">
        <v>365</v>
      </c>
      <c r="T86">
        <v>9</v>
      </c>
    </row>
    <row r="87" spans="1:20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  <c r="P87" s="2">
        <f>AVERAGE(H87,N87,O87)</f>
        <v>10.333333333333334</v>
      </c>
      <c r="Q87" s="13" t="s">
        <v>349</v>
      </c>
      <c r="R87" s="14" t="s">
        <v>364</v>
      </c>
      <c r="T87" s="2" t="s">
        <v>367</v>
      </c>
    </row>
    <row r="88" spans="1:20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  <c r="P88">
        <f>AVERAGE(H88,N88,O88)</f>
        <v>7.666666666666667</v>
      </c>
      <c r="Q88" s="14" t="s">
        <v>350</v>
      </c>
      <c r="R88" s="14" t="s">
        <v>363</v>
      </c>
      <c r="S88" t="s">
        <v>365</v>
      </c>
      <c r="T88">
        <v>9</v>
      </c>
    </row>
    <row r="89" spans="1:20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  <c r="P89">
        <f>AVERAGE(H89,N89,O89)</f>
        <v>12.333333333333334</v>
      </c>
      <c r="Q89" s="13" t="s">
        <v>349</v>
      </c>
      <c r="R89" s="14" t="s">
        <v>355</v>
      </c>
      <c r="T89" t="s">
        <v>367</v>
      </c>
    </row>
    <row r="90" spans="1:20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  <c r="P90">
        <f>AVERAGE(H90,N90,O90)</f>
        <v>8</v>
      </c>
      <c r="Q90" s="14" t="s">
        <v>350</v>
      </c>
      <c r="R90" s="14" t="s">
        <v>354</v>
      </c>
      <c r="S90" t="s">
        <v>365</v>
      </c>
      <c r="T90">
        <v>8</v>
      </c>
    </row>
    <row r="91" spans="1:20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  <c r="P91" s="2">
        <f>AVERAGE(H91,N91,O91)</f>
        <v>9.6666666666666661</v>
      </c>
      <c r="Q91" s="14" t="s">
        <v>350</v>
      </c>
      <c r="R91" s="14" t="s">
        <v>359</v>
      </c>
      <c r="S91" s="2" t="s">
        <v>365</v>
      </c>
      <c r="T91" s="2">
        <v>3</v>
      </c>
    </row>
    <row r="92" spans="1:20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  <c r="P92">
        <f>AVERAGE(H92,N92,O92)</f>
        <v>12.333333333333334</v>
      </c>
      <c r="Q92" s="13" t="s">
        <v>349</v>
      </c>
      <c r="R92" s="14" t="s">
        <v>364</v>
      </c>
      <c r="T92" t="s">
        <v>367</v>
      </c>
    </row>
    <row r="93" spans="1:20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  <c r="P93">
        <f>AVERAGE(H93,N93,O93)</f>
        <v>11.666666666666666</v>
      </c>
      <c r="Q93" s="13" t="s">
        <v>349</v>
      </c>
      <c r="R93" s="14" t="s">
        <v>357</v>
      </c>
      <c r="T93" t="s">
        <v>367</v>
      </c>
    </row>
    <row r="94" spans="1:20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  <c r="P94">
        <f>AVERAGE(H94,N94,O94)</f>
        <v>9.6666666666666661</v>
      </c>
      <c r="Q94" s="14" t="s">
        <v>350</v>
      </c>
      <c r="R94" s="14" t="s">
        <v>362</v>
      </c>
      <c r="S94" t="s">
        <v>365</v>
      </c>
      <c r="T94">
        <v>3</v>
      </c>
    </row>
    <row r="95" spans="1:20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  <c r="P95">
        <f>AVERAGE(H95,N95,O95)</f>
        <v>9.6666666666666661</v>
      </c>
      <c r="Q95" s="14" t="s">
        <v>350</v>
      </c>
      <c r="R95" s="14" t="s">
        <v>362</v>
      </c>
      <c r="S95" t="s">
        <v>365</v>
      </c>
      <c r="T95">
        <v>3</v>
      </c>
    </row>
    <row r="96" spans="1:20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  <c r="P96" s="2">
        <f>AVERAGE(H96,N96,O96)</f>
        <v>7.333333333333333</v>
      </c>
      <c r="Q96" s="14" t="s">
        <v>350</v>
      </c>
      <c r="R96" s="14" t="s">
        <v>360</v>
      </c>
      <c r="S96" s="2" t="s">
        <v>365</v>
      </c>
      <c r="T96" s="2">
        <v>10</v>
      </c>
    </row>
    <row r="97" spans="1:20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  <c r="P97">
        <f>AVERAGE(H97,N97,O97)</f>
        <v>6.333333333333333</v>
      </c>
      <c r="Q97" s="14" t="s">
        <v>350</v>
      </c>
      <c r="R97" s="14" t="s">
        <v>361</v>
      </c>
      <c r="S97" t="s">
        <v>365</v>
      </c>
      <c r="T97">
        <v>13</v>
      </c>
    </row>
    <row r="98" spans="1:20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  <c r="P98" s="2">
        <f>AVERAGE(H98,N98,O98)</f>
        <v>11.333333333333334</v>
      </c>
      <c r="Q98" s="13" t="s">
        <v>349</v>
      </c>
      <c r="R98" s="14" t="s">
        <v>355</v>
      </c>
      <c r="T98" s="2" t="s">
        <v>367</v>
      </c>
    </row>
    <row r="99" spans="1:20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  <c r="P99">
        <f>AVERAGE(H99,N99,O99)</f>
        <v>9.3333333333333339</v>
      </c>
      <c r="Q99" s="14" t="s">
        <v>350</v>
      </c>
      <c r="R99" s="14" t="s">
        <v>363</v>
      </c>
      <c r="S99" t="s">
        <v>365</v>
      </c>
      <c r="T99">
        <v>4</v>
      </c>
    </row>
    <row r="100" spans="1:20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  <c r="P100">
        <f>AVERAGE(H100,N100,O100)</f>
        <v>7.333333333333333</v>
      </c>
      <c r="Q100" s="14" t="s">
        <v>350</v>
      </c>
      <c r="R100" s="14" t="s">
        <v>363</v>
      </c>
      <c r="S100" t="s">
        <v>365</v>
      </c>
      <c r="T100">
        <v>10</v>
      </c>
    </row>
    <row r="101" spans="1:20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  <c r="P101" s="2">
        <f>AVERAGE(H101,N101,O101)</f>
        <v>8.3333333333333339</v>
      </c>
      <c r="Q101" s="14" t="s">
        <v>350</v>
      </c>
      <c r="R101" s="14" t="s">
        <v>352</v>
      </c>
      <c r="S101" s="2" t="s">
        <v>365</v>
      </c>
      <c r="T101" s="2">
        <v>7</v>
      </c>
    </row>
    <row r="102" spans="1:20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  <c r="P102">
        <f>AVERAGE(H102,N102,O102)</f>
        <v>7.666666666666667</v>
      </c>
      <c r="Q102" s="14" t="s">
        <v>350</v>
      </c>
      <c r="R102" s="14" t="s">
        <v>361</v>
      </c>
      <c r="S102" t="s">
        <v>365</v>
      </c>
      <c r="T102">
        <v>9</v>
      </c>
    </row>
    <row r="103" spans="1:20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  <c r="P103" s="2">
        <f>AVERAGE(H103,N103,O103)</f>
        <v>7.333333333333333</v>
      </c>
      <c r="Q103" s="14" t="s">
        <v>350</v>
      </c>
      <c r="R103" s="14" t="s">
        <v>360</v>
      </c>
      <c r="S103" s="2" t="s">
        <v>365</v>
      </c>
      <c r="T103" s="2">
        <v>10</v>
      </c>
    </row>
    <row r="104" spans="1:20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  <c r="P104" s="2">
        <f>AVERAGE(H104,N104,O104)</f>
        <v>8.6666666666666661</v>
      </c>
      <c r="Q104" s="14" t="s">
        <v>350</v>
      </c>
      <c r="R104" s="14" t="s">
        <v>352</v>
      </c>
      <c r="S104" s="2" t="s">
        <v>365</v>
      </c>
      <c r="T104" s="2">
        <v>6</v>
      </c>
    </row>
    <row r="105" spans="1:20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  <c r="P105">
        <f>AVERAGE(H105,N105,O105)</f>
        <v>7.666666666666667</v>
      </c>
      <c r="Q105" s="14" t="s">
        <v>350</v>
      </c>
      <c r="R105" s="14" t="s">
        <v>353</v>
      </c>
      <c r="S105" t="s">
        <v>365</v>
      </c>
      <c r="T105">
        <v>9</v>
      </c>
    </row>
    <row r="106" spans="1:20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  <c r="P106">
        <f>AVERAGE(H106,N106,O106)</f>
        <v>7</v>
      </c>
      <c r="Q106" s="14" t="s">
        <v>350</v>
      </c>
      <c r="R106" s="14" t="s">
        <v>356</v>
      </c>
      <c r="S106" t="s">
        <v>365</v>
      </c>
      <c r="T106">
        <v>11</v>
      </c>
    </row>
    <row r="107" spans="1:20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  <c r="P107" s="2">
        <f>AVERAGE(H107,N107,O107)</f>
        <v>10</v>
      </c>
      <c r="Q107" s="13" t="s">
        <v>349</v>
      </c>
      <c r="R107" s="14" t="s">
        <v>357</v>
      </c>
      <c r="T107" s="2" t="s">
        <v>367</v>
      </c>
    </row>
    <row r="108" spans="1:20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  <c r="P108">
        <f>AVERAGE(H108,N108,O108)</f>
        <v>6.333333333333333</v>
      </c>
      <c r="Q108" s="14" t="s">
        <v>350</v>
      </c>
      <c r="R108" s="14" t="s">
        <v>363</v>
      </c>
      <c r="S108" t="s">
        <v>365</v>
      </c>
      <c r="T108">
        <v>13</v>
      </c>
    </row>
    <row r="109" spans="1:20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  <c r="P109">
        <f>AVERAGE(H109,N109,O109)</f>
        <v>8.3333333333333339</v>
      </c>
      <c r="Q109" s="14" t="s">
        <v>350</v>
      </c>
      <c r="R109" s="14" t="s">
        <v>360</v>
      </c>
      <c r="S109" t="s">
        <v>365</v>
      </c>
      <c r="T109">
        <v>7</v>
      </c>
    </row>
    <row r="110" spans="1:20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  <c r="P110">
        <f>AVERAGE(H110,N110,O110)</f>
        <v>8</v>
      </c>
      <c r="Q110" s="14" t="s">
        <v>350</v>
      </c>
      <c r="R110" s="14" t="s">
        <v>360</v>
      </c>
      <c r="S110" t="s">
        <v>365</v>
      </c>
      <c r="T110">
        <v>8</v>
      </c>
    </row>
    <row r="111" spans="1:20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  <c r="P111">
        <f>AVERAGE(H111,N111,O111)</f>
        <v>9</v>
      </c>
      <c r="Q111" s="14" t="s">
        <v>350</v>
      </c>
      <c r="R111" s="14" t="s">
        <v>356</v>
      </c>
      <c r="S111" t="s">
        <v>365</v>
      </c>
      <c r="T111">
        <v>5</v>
      </c>
    </row>
    <row r="112" spans="1:20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  <c r="P112" s="2">
        <f>AVERAGE(H112,N112,O112)</f>
        <v>8.3333333333333339</v>
      </c>
      <c r="Q112" s="14" t="s">
        <v>350</v>
      </c>
      <c r="R112" s="14" t="s">
        <v>352</v>
      </c>
      <c r="S112" s="2" t="s">
        <v>365</v>
      </c>
      <c r="T112" s="2">
        <v>7</v>
      </c>
    </row>
    <row r="113" spans="1:20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  <c r="P113">
        <f>AVERAGE(H113,N113,O113)</f>
        <v>8.3333333333333339</v>
      </c>
      <c r="Q113" s="14" t="s">
        <v>350</v>
      </c>
      <c r="R113" s="14" t="s">
        <v>361</v>
      </c>
      <c r="S113" t="s">
        <v>365</v>
      </c>
      <c r="T113">
        <v>7</v>
      </c>
    </row>
    <row r="114" spans="1:20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  <c r="P114">
        <f>AVERAGE(H114,N114,O114)</f>
        <v>7.666666666666667</v>
      </c>
      <c r="Q114" s="14" t="s">
        <v>350</v>
      </c>
      <c r="R114" s="14" t="s">
        <v>361</v>
      </c>
      <c r="S114" t="s">
        <v>365</v>
      </c>
      <c r="T114">
        <v>9</v>
      </c>
    </row>
    <row r="115" spans="1:20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  <c r="P115">
        <f>AVERAGE(H115,N115,O115)</f>
        <v>8.6666666666666661</v>
      </c>
      <c r="Q115" s="14" t="s">
        <v>350</v>
      </c>
      <c r="R115" s="14" t="s">
        <v>356</v>
      </c>
      <c r="S115" t="s">
        <v>365</v>
      </c>
      <c r="T115">
        <v>6</v>
      </c>
    </row>
    <row r="116" spans="1:20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  <c r="P116">
        <f>AVERAGE(H116,N116,O116)</f>
        <v>6.666666666666667</v>
      </c>
      <c r="Q116" s="14" t="s">
        <v>350</v>
      </c>
      <c r="R116" s="14" t="s">
        <v>354</v>
      </c>
      <c r="S116" t="s">
        <v>365</v>
      </c>
      <c r="T116">
        <v>12</v>
      </c>
    </row>
    <row r="117" spans="1:20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  <c r="P117">
        <f>AVERAGE(H117,N117,O117)</f>
        <v>11.666666666666666</v>
      </c>
      <c r="Q117" s="13" t="s">
        <v>349</v>
      </c>
      <c r="R117" s="14" t="s">
        <v>352</v>
      </c>
      <c r="T117" t="s">
        <v>367</v>
      </c>
    </row>
    <row r="118" spans="1:20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  <c r="P118" s="2">
        <f>AVERAGE(H118,N118,O118)</f>
        <v>10</v>
      </c>
      <c r="Q118" s="13" t="s">
        <v>349</v>
      </c>
      <c r="R118" s="14" t="s">
        <v>357</v>
      </c>
      <c r="T118" s="2" t="s">
        <v>367</v>
      </c>
    </row>
    <row r="119" spans="1:20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  <c r="P119">
        <f>AVERAGE(H119,N119,O119)</f>
        <v>11.666666666666666</v>
      </c>
      <c r="Q119" s="13" t="s">
        <v>349</v>
      </c>
      <c r="R119" s="14" t="s">
        <v>352</v>
      </c>
      <c r="T119" t="s">
        <v>367</v>
      </c>
    </row>
    <row r="120" spans="1:20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  <c r="P120">
        <f>AVERAGE(H120,N120,O120)</f>
        <v>9.3333333333333339</v>
      </c>
      <c r="Q120" s="14" t="s">
        <v>350</v>
      </c>
      <c r="R120" s="14" t="s">
        <v>353</v>
      </c>
      <c r="S120" t="s">
        <v>365</v>
      </c>
      <c r="T120">
        <v>4</v>
      </c>
    </row>
    <row r="121" spans="1:20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  <c r="P121">
        <f>AVERAGE(H121,N121,O121)</f>
        <v>7.666666666666667</v>
      </c>
      <c r="Q121" s="14" t="s">
        <v>350</v>
      </c>
      <c r="R121" s="14" t="s">
        <v>353</v>
      </c>
      <c r="S121" t="s">
        <v>365</v>
      </c>
      <c r="T121">
        <v>9</v>
      </c>
    </row>
    <row r="122" spans="1:20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  <c r="P122">
        <f>AVERAGE(H122,N122,O122)</f>
        <v>8.6666666666666661</v>
      </c>
      <c r="Q122" s="14" t="s">
        <v>350</v>
      </c>
      <c r="R122" s="14" t="s">
        <v>356</v>
      </c>
      <c r="S122" t="s">
        <v>365</v>
      </c>
      <c r="T122">
        <v>6</v>
      </c>
    </row>
    <row r="123" spans="1:20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  <c r="P123" s="2">
        <f>AVERAGE(H123,N123,O123)</f>
        <v>9.3333333333333339</v>
      </c>
      <c r="Q123" s="14" t="s">
        <v>350</v>
      </c>
      <c r="R123" s="14" t="s">
        <v>359</v>
      </c>
      <c r="S123" s="2" t="s">
        <v>365</v>
      </c>
      <c r="T123" s="2">
        <v>4</v>
      </c>
    </row>
    <row r="124" spans="1:20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  <c r="P124">
        <f>AVERAGE(H124,N124,O124)</f>
        <v>7.666666666666667</v>
      </c>
      <c r="Q124" s="14" t="s">
        <v>350</v>
      </c>
      <c r="R124" s="14" t="s">
        <v>354</v>
      </c>
      <c r="S124" t="s">
        <v>365</v>
      </c>
      <c r="T124">
        <v>9</v>
      </c>
    </row>
    <row r="125" spans="1:20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  <c r="P125">
        <f>AVERAGE(H125,N125,O125)</f>
        <v>9</v>
      </c>
      <c r="Q125" s="14" t="s">
        <v>350</v>
      </c>
      <c r="R125" s="14" t="s">
        <v>362</v>
      </c>
      <c r="S125" t="s">
        <v>365</v>
      </c>
      <c r="T125">
        <v>5</v>
      </c>
    </row>
    <row r="126" spans="1:20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  <c r="P126" s="2">
        <f>AVERAGE(H126,N126,O126)</f>
        <v>10.333333333333334</v>
      </c>
      <c r="Q126" s="13" t="s">
        <v>349</v>
      </c>
      <c r="R126" s="14" t="s">
        <v>355</v>
      </c>
      <c r="T126" s="2" t="s">
        <v>367</v>
      </c>
    </row>
    <row r="127" spans="1:20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  <c r="P127">
        <f>AVERAGE(H127,N127,O127)</f>
        <v>7.666666666666667</v>
      </c>
      <c r="Q127" s="14" t="s">
        <v>350</v>
      </c>
      <c r="R127" s="14" t="s">
        <v>354</v>
      </c>
      <c r="S127" t="s">
        <v>365</v>
      </c>
      <c r="T127">
        <v>9</v>
      </c>
    </row>
    <row r="128" spans="1:20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  <c r="P128">
        <f>AVERAGE(H128,N128,O128)</f>
        <v>7.666666666666667</v>
      </c>
      <c r="Q128" s="14" t="s">
        <v>350</v>
      </c>
      <c r="R128" s="14" t="s">
        <v>363</v>
      </c>
      <c r="S128" t="s">
        <v>365</v>
      </c>
      <c r="T128">
        <v>9</v>
      </c>
    </row>
    <row r="129" spans="1:20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  <c r="P129">
        <f>AVERAGE(H129,N129,O129)</f>
        <v>6.333333333333333</v>
      </c>
      <c r="Q129" s="14" t="s">
        <v>350</v>
      </c>
      <c r="R129" s="14" t="s">
        <v>361</v>
      </c>
      <c r="S129" t="s">
        <v>365</v>
      </c>
      <c r="T129">
        <v>13</v>
      </c>
    </row>
    <row r="130" spans="1:20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  <c r="P130">
        <f>AVERAGE(H130,N130,O130)</f>
        <v>6.666666666666667</v>
      </c>
      <c r="Q130" s="14" t="s">
        <v>350</v>
      </c>
      <c r="R130" s="14" t="s">
        <v>361</v>
      </c>
      <c r="S130" t="s">
        <v>365</v>
      </c>
      <c r="T130">
        <v>12</v>
      </c>
    </row>
    <row r="131" spans="1:20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  <c r="P131">
        <f>AVERAGE(H131,N131,O131)</f>
        <v>9.3333333333333339</v>
      </c>
      <c r="Q131" s="14" t="s">
        <v>350</v>
      </c>
      <c r="R131" s="14" t="s">
        <v>363</v>
      </c>
      <c r="S131" t="s">
        <v>365</v>
      </c>
      <c r="T131">
        <v>4</v>
      </c>
    </row>
    <row r="132" spans="1:20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  <c r="P132">
        <f>AVERAGE(H132,N132,O132)</f>
        <v>9.3333333333333339</v>
      </c>
      <c r="Q132" s="14" t="s">
        <v>350</v>
      </c>
      <c r="R132" s="14" t="s">
        <v>361</v>
      </c>
      <c r="S132" t="s">
        <v>365</v>
      </c>
      <c r="T132">
        <v>4</v>
      </c>
    </row>
    <row r="133" spans="1:20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  <c r="P133">
        <f>AVERAGE(H133,N133,O133)</f>
        <v>7.333333333333333</v>
      </c>
      <c r="Q133" s="14" t="s">
        <v>350</v>
      </c>
      <c r="R133" s="14" t="s">
        <v>353</v>
      </c>
      <c r="S133" t="s">
        <v>365</v>
      </c>
      <c r="T133">
        <v>10</v>
      </c>
    </row>
    <row r="134" spans="1:20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  <c r="P134">
        <f>AVERAGE(H134,N134,O134)</f>
        <v>7.666666666666667</v>
      </c>
      <c r="Q134" s="14" t="s">
        <v>350</v>
      </c>
      <c r="R134" s="14" t="s">
        <v>363</v>
      </c>
      <c r="S134" t="s">
        <v>365</v>
      </c>
      <c r="T134">
        <v>9</v>
      </c>
    </row>
    <row r="135" spans="1:20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  <c r="P135">
        <f>AVERAGE(H135,N135,O135)</f>
        <v>10.666666666666666</v>
      </c>
      <c r="Q135" s="13" t="s">
        <v>349</v>
      </c>
      <c r="R135" s="14" t="s">
        <v>360</v>
      </c>
      <c r="T135" t="s">
        <v>367</v>
      </c>
    </row>
    <row r="136" spans="1:20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  <c r="P136">
        <f>AVERAGE(H136,N136,O136)</f>
        <v>9.3333333333333339</v>
      </c>
      <c r="Q136" s="14" t="s">
        <v>350</v>
      </c>
      <c r="R136" s="14" t="s">
        <v>360</v>
      </c>
      <c r="S136" t="s">
        <v>365</v>
      </c>
      <c r="T136">
        <v>4</v>
      </c>
    </row>
    <row r="137" spans="1:20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  <c r="P137">
        <f>AVERAGE(H137,N137,O137)</f>
        <v>12.333333333333334</v>
      </c>
      <c r="Q137" s="13" t="s">
        <v>349</v>
      </c>
      <c r="R137" s="14" t="s">
        <v>355</v>
      </c>
      <c r="T137" t="s">
        <v>367</v>
      </c>
    </row>
    <row r="138" spans="1:20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  <c r="P138" s="2">
        <f>AVERAGE(H138,N138,O138)</f>
        <v>10.333333333333334</v>
      </c>
      <c r="Q138" s="13" t="s">
        <v>349</v>
      </c>
      <c r="R138" s="14" t="s">
        <v>355</v>
      </c>
      <c r="T138" s="2" t="s">
        <v>367</v>
      </c>
    </row>
    <row r="139" spans="1:20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4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  <c r="P139">
        <f>AVERAGE(H139,N139,O139)</f>
        <v>8.3333333333333339</v>
      </c>
      <c r="Q139" s="14" t="s">
        <v>350</v>
      </c>
      <c r="R139" s="14" t="s">
        <v>360</v>
      </c>
      <c r="S139" t="s">
        <v>365</v>
      </c>
      <c r="T139">
        <v>7</v>
      </c>
    </row>
    <row r="140" spans="1:20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  <c r="P140">
        <f>AVERAGE(H140,N140,O140)</f>
        <v>6.333333333333333</v>
      </c>
      <c r="Q140" s="14" t="s">
        <v>350</v>
      </c>
      <c r="R140" s="14" t="s">
        <v>363</v>
      </c>
      <c r="S140" t="s">
        <v>365</v>
      </c>
      <c r="T140">
        <v>13</v>
      </c>
    </row>
    <row r="141" spans="1:20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  <c r="P141" s="2">
        <f>AVERAGE(H141,N141,O141)</f>
        <v>9.3333333333333339</v>
      </c>
      <c r="Q141" s="14" t="s">
        <v>350</v>
      </c>
      <c r="R141" s="14" t="s">
        <v>357</v>
      </c>
      <c r="S141" s="2" t="s">
        <v>365</v>
      </c>
      <c r="T141" s="2">
        <v>4</v>
      </c>
    </row>
    <row r="142" spans="1:20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  <c r="P142">
        <f>AVERAGE(H142,N142,O142)</f>
        <v>9.3333333333333339</v>
      </c>
      <c r="Q142" s="14" t="s">
        <v>350</v>
      </c>
      <c r="R142" s="14" t="s">
        <v>360</v>
      </c>
      <c r="S142" t="s">
        <v>365</v>
      </c>
      <c r="T142">
        <v>4</v>
      </c>
    </row>
    <row r="143" spans="1:20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  <c r="P143" s="2">
        <f>AVERAGE(H143,N143,O143)</f>
        <v>8</v>
      </c>
      <c r="Q143" s="14" t="s">
        <v>350</v>
      </c>
      <c r="R143" s="14" t="s">
        <v>362</v>
      </c>
      <c r="S143" s="2" t="s">
        <v>365</v>
      </c>
      <c r="T143" s="2">
        <v>8</v>
      </c>
    </row>
    <row r="144" spans="1:20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  <c r="P144">
        <f>AVERAGE(H144,N144,O144)</f>
        <v>10</v>
      </c>
      <c r="Q144" s="13" t="s">
        <v>349</v>
      </c>
      <c r="R144" s="14" t="s">
        <v>362</v>
      </c>
      <c r="T144" t="s">
        <v>367</v>
      </c>
    </row>
    <row r="145" spans="1:20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  <c r="P145" s="2">
        <f>AVERAGE(H145,N145,O145)</f>
        <v>10.333333333333334</v>
      </c>
      <c r="Q145" s="13" t="s">
        <v>349</v>
      </c>
      <c r="R145" s="14" t="s">
        <v>357</v>
      </c>
      <c r="T145" s="2" t="s">
        <v>367</v>
      </c>
    </row>
    <row r="146" spans="1:20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  <c r="P146">
        <f>AVERAGE(H146,N146,O146)</f>
        <v>11</v>
      </c>
      <c r="Q146" s="13" t="s">
        <v>349</v>
      </c>
      <c r="R146" s="14" t="s">
        <v>358</v>
      </c>
      <c r="T146" t="s">
        <v>367</v>
      </c>
    </row>
    <row r="147" spans="1:20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  <c r="P147">
        <f>AVERAGE(H147,N147,O147)</f>
        <v>7</v>
      </c>
      <c r="Q147" s="14" t="s">
        <v>350</v>
      </c>
      <c r="R147" s="14" t="s">
        <v>361</v>
      </c>
      <c r="S147" t="s">
        <v>365</v>
      </c>
      <c r="T147">
        <v>11</v>
      </c>
    </row>
    <row r="148" spans="1:20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  <c r="P148">
        <f>AVERAGE(H148,N148,O148)</f>
        <v>10.333333333333334</v>
      </c>
      <c r="Q148" s="13" t="s">
        <v>349</v>
      </c>
      <c r="R148" s="14" t="s">
        <v>358</v>
      </c>
      <c r="T148" t="s">
        <v>367</v>
      </c>
    </row>
    <row r="149" spans="1:20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  <c r="P149">
        <f>AVERAGE(H149,N149,O149)</f>
        <v>10.666666666666666</v>
      </c>
      <c r="Q149" s="13" t="s">
        <v>349</v>
      </c>
      <c r="R149" s="14" t="s">
        <v>362</v>
      </c>
      <c r="T149" t="s">
        <v>367</v>
      </c>
    </row>
    <row r="150" spans="1:20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  <c r="P150">
        <f>AVERAGE(H150,N150,O150)</f>
        <v>9</v>
      </c>
      <c r="Q150" s="14" t="s">
        <v>350</v>
      </c>
      <c r="R150" s="14" t="s">
        <v>363</v>
      </c>
      <c r="S150" t="s">
        <v>365</v>
      </c>
      <c r="T150">
        <v>5</v>
      </c>
    </row>
    <row r="151" spans="1:20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  <c r="P151" s="2">
        <f>AVERAGE(H151,N151,O151)</f>
        <v>10.333333333333334</v>
      </c>
      <c r="Q151" s="13" t="s">
        <v>349</v>
      </c>
      <c r="R151" s="14" t="s">
        <v>355</v>
      </c>
      <c r="T151" s="2" t="s">
        <v>367</v>
      </c>
    </row>
    <row r="152" spans="1:20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  <c r="P152" s="2">
        <f>AVERAGE(H152,N152,O152)</f>
        <v>10.333333333333334</v>
      </c>
      <c r="Q152" s="13" t="s">
        <v>349</v>
      </c>
      <c r="R152" s="14" t="s">
        <v>357</v>
      </c>
      <c r="T152" s="2" t="s">
        <v>367</v>
      </c>
    </row>
    <row r="153" spans="1:20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  <c r="P153">
        <f>AVERAGE(H153,N153,O153)</f>
        <v>7.333333333333333</v>
      </c>
      <c r="Q153" s="14" t="s">
        <v>350</v>
      </c>
      <c r="R153" s="14" t="s">
        <v>354</v>
      </c>
      <c r="S153" t="s">
        <v>365</v>
      </c>
      <c r="T153">
        <v>10</v>
      </c>
    </row>
    <row r="154" spans="1:20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  <c r="P154">
        <f>AVERAGE(H154,N154,O154)</f>
        <v>6</v>
      </c>
      <c r="Q154" s="14" t="s">
        <v>350</v>
      </c>
      <c r="R154" s="14" t="s">
        <v>361</v>
      </c>
      <c r="S154" t="s">
        <v>365</v>
      </c>
      <c r="T154">
        <v>14</v>
      </c>
    </row>
    <row r="155" spans="1:20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  <c r="P155">
        <f>AVERAGE(H155,N155,O155)</f>
        <v>11.333333333333334</v>
      </c>
      <c r="Q155" s="13" t="s">
        <v>349</v>
      </c>
      <c r="R155" s="14" t="s">
        <v>359</v>
      </c>
      <c r="T155" t="s">
        <v>367</v>
      </c>
    </row>
    <row r="156" spans="1:20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  <c r="P156">
        <f>AVERAGE(H156,N156,O156)</f>
        <v>10</v>
      </c>
      <c r="Q156" s="13" t="s">
        <v>349</v>
      </c>
      <c r="R156" s="14" t="s">
        <v>360</v>
      </c>
      <c r="T156" t="s">
        <v>367</v>
      </c>
    </row>
    <row r="157" spans="1:20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  <c r="P157" s="2">
        <f>AVERAGE(H157,N157,O157)</f>
        <v>9.6666666666666661</v>
      </c>
      <c r="Q157" s="14" t="s">
        <v>350</v>
      </c>
      <c r="R157" s="14" t="s">
        <v>359</v>
      </c>
      <c r="S157" s="2" t="s">
        <v>365</v>
      </c>
      <c r="T157" s="2">
        <v>3</v>
      </c>
    </row>
    <row r="158" spans="1:20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345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  <c r="P158">
        <f>AVERAGE(H158,N158,O158)</f>
        <v>11.333333333333334</v>
      </c>
      <c r="Q158" s="13" t="s">
        <v>349</v>
      </c>
      <c r="R158" s="14" t="s">
        <v>359</v>
      </c>
      <c r="T158" t="s">
        <v>367</v>
      </c>
    </row>
    <row r="159" spans="1:20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  <c r="P159">
        <f>AVERAGE(H159,N159,O159)</f>
        <v>9.6666666666666661</v>
      </c>
      <c r="Q159" s="14" t="s">
        <v>350</v>
      </c>
      <c r="R159" s="14" t="s">
        <v>363</v>
      </c>
      <c r="S159" t="s">
        <v>365</v>
      </c>
      <c r="T159">
        <v>3</v>
      </c>
    </row>
    <row r="160" spans="1:20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  <c r="P160">
        <f>AVERAGE(H160,N160,O160)</f>
        <v>6.333333333333333</v>
      </c>
      <c r="Q160" s="14" t="s">
        <v>350</v>
      </c>
      <c r="R160" s="14" t="s">
        <v>356</v>
      </c>
      <c r="S160" t="s">
        <v>365</v>
      </c>
      <c r="T160">
        <v>13</v>
      </c>
    </row>
    <row r="163" spans="2:3" x14ac:dyDescent="0.3">
      <c r="B163" s="16" t="s">
        <v>368</v>
      </c>
      <c r="C163" s="15">
        <v>0</v>
      </c>
    </row>
    <row r="164" spans="2:3" x14ac:dyDescent="0.3">
      <c r="B164" s="15" t="s">
        <v>369</v>
      </c>
      <c r="C164" s="15">
        <v>159</v>
      </c>
    </row>
    <row r="165" spans="2:3" x14ac:dyDescent="0.3">
      <c r="B165" s="15" t="s">
        <v>370</v>
      </c>
      <c r="C165" s="15">
        <v>58</v>
      </c>
    </row>
    <row r="166" spans="2:3" x14ac:dyDescent="0.3">
      <c r="B166" s="15" t="s">
        <v>371</v>
      </c>
      <c r="C166" s="15">
        <v>101</v>
      </c>
    </row>
    <row r="167" spans="2:3" x14ac:dyDescent="0.3">
      <c r="B167" s="15" t="s">
        <v>372</v>
      </c>
      <c r="C167" s="15" t="s">
        <v>373</v>
      </c>
    </row>
    <row r="168" spans="2:3" x14ac:dyDescent="0.3">
      <c r="B168" s="15" t="s">
        <v>374</v>
      </c>
      <c r="C168" s="15" t="s">
        <v>375</v>
      </c>
    </row>
    <row r="169" spans="2:3" x14ac:dyDescent="0.3">
      <c r="B169" s="15" t="s">
        <v>376</v>
      </c>
      <c r="C169" s="15" t="s">
        <v>377</v>
      </c>
    </row>
    <row r="170" spans="2:3" x14ac:dyDescent="0.3">
      <c r="B170" s="15" t="s">
        <v>378</v>
      </c>
      <c r="C170" s="15" t="s">
        <v>379</v>
      </c>
    </row>
    <row r="171" spans="2:3" x14ac:dyDescent="0.3">
      <c r="B171" s="15" t="s">
        <v>380</v>
      </c>
      <c r="C171" s="15" t="s">
        <v>381</v>
      </c>
    </row>
    <row r="172" spans="2:3" x14ac:dyDescent="0.3">
      <c r="B172" s="15" t="s">
        <v>382</v>
      </c>
      <c r="C172" s="15" t="s">
        <v>383</v>
      </c>
    </row>
    <row r="173" spans="2:3" x14ac:dyDescent="0.3">
      <c r="B173" s="15" t="s">
        <v>384</v>
      </c>
      <c r="C173" s="15">
        <v>0</v>
      </c>
    </row>
    <row r="174" spans="2:3" x14ac:dyDescent="0.3">
      <c r="B174" s="15" t="s">
        <v>385</v>
      </c>
      <c r="C174" s="1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Pivot_638998843148176306</vt:lpstr>
      <vt:lpstr>Pivot_638998842998962721</vt:lpstr>
      <vt:lpstr>Pivot_638998853291763022</vt:lpstr>
      <vt:lpstr>Pivot_638999203820182194</vt:lpstr>
      <vt:lpstr>Pivot_638999241525119084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2025-11-28T10:55:52Z</dcterms:modified>
</cp:coreProperties>
</file>