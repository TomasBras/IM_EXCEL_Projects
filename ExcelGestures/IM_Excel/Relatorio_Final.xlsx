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Gestures\IM_Excel\"/>
    </mc:Choice>
  </mc:AlternateContent>
  <xr:revisionPtr revIDLastSave="0" documentId="8_{4FC4C7DE-7B52-4D9C-A2E0-51DA3E2BEB29}" xr6:coauthVersionLast="47" xr6:coauthVersionMax="47" xr10:uidLastSave="{00000000-0000-0000-0000-000000000000}"/>
  <bookViews>
    <workbookView xWindow="28680" yWindow="-120" windowWidth="15600" windowHeight="11040" firstSheet="4" activeTab="5" xr2:uid="{00000000-000D-0000-FFFF-FFFF00000000}"/>
  </bookViews>
  <sheets>
    <sheet name="Pivot_638998843148176306" sheetId="5" r:id="rId1"/>
    <sheet name="Pivot_638998842998962721" sheetId="4" r:id="rId2"/>
    <sheet name="Pivot_638998853291763022" sheetId="7" r:id="rId3"/>
    <sheet name="Pivot_638999203820182194" sheetId="10" r:id="rId4"/>
    <sheet name="Pivot_638999241525119084" sheetId="11" r:id="rId5"/>
    <sheet name="Sheet1" sheetId="1" r:id="rId6"/>
  </sheets>
  <definedNames>
    <definedName name="_xlnm._FilterDatabase" localSheetId="5" hidden="1">Sheet1!$A$1:$L$174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0" i="1" l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<sst xmlns="http://schemas.openxmlformats.org/spreadsheetml/2006/main" count="1156" uniqueCount="367">
  <si>
    <t>Número mecanográfico</t>
  </si>
  <si>
    <t>Nome</t>
  </si>
  <si>
    <t>Endereço de e-mail</t>
  </si>
  <si>
    <t>Código de curso</t>
  </si>
  <si>
    <t>TP</t>
  </si>
  <si>
    <t>P</t>
  </si>
  <si>
    <t>REGIME</t>
  </si>
  <si>
    <t>Teste 1</t>
  </si>
  <si>
    <t>T2_P5</t>
  </si>
  <si>
    <t>MARIA INÊS OLIVEIRA SILVA</t>
  </si>
  <si>
    <t>ANA CATARINA FONSECA MARQUES</t>
  </si>
  <si>
    <t>MARIANA FIGUEIREDO MARQUES</t>
  </si>
  <si>
    <t>MARIA JOÃO MATOS FORTE</t>
  </si>
  <si>
    <t>DANIELA INÊS FERREIRA TELES</t>
  </si>
  <si>
    <t>JOANA MONTEIRO MOREIRA DA SILVA</t>
  </si>
  <si>
    <t>JOANA GOMES INÁCIO</t>
  </si>
  <si>
    <t>JOSÉ PEDRO ALMEIDA ABREU</t>
  </si>
  <si>
    <t>EDUARDA VILAS BOAS CASTRO</t>
  </si>
  <si>
    <t>JOSÉ PEDRO GASPAR BARBOSA</t>
  </si>
  <si>
    <t>ELIANA PERES BETTENCOURT</t>
  </si>
  <si>
    <t>DIOGO GABRIEL ANTUNES CANHOTO</t>
  </si>
  <si>
    <t>PEDRO GABRIEL DE OLIVEIRA CARRINHO</t>
  </si>
  <si>
    <t>JOÃO MANUEL ANDRADE DOS SANTOS MENDONÇA TEIXEIRA</t>
  </si>
  <si>
    <t>MARIANA GONÇALVES MOREIRA</t>
  </si>
  <si>
    <t>MARIANA SOFIA GONÇALVES CORDEIRO</t>
  </si>
  <si>
    <t>DIOGO MIGUEL RAMOS ÓRFÃO</t>
  </si>
  <si>
    <t>BEATRIZ MARTINS AFONSO</t>
  </si>
  <si>
    <t>ALEXANDER ANTONIO RODRIGUES SIMÕES</t>
  </si>
  <si>
    <t>INÊS MARGARIDA PINHEIRO DE MELO</t>
  </si>
  <si>
    <t>DANIEL FILIPE MOTA LEAL</t>
  </si>
  <si>
    <t>MARIA MIGUEL LOPES DE CASTRO</t>
  </si>
  <si>
    <t>CAROLINA FERREIRA CATALAO</t>
  </si>
  <si>
    <t>RICARDO OLIVEIRA FIGUEIREDO</t>
  </si>
  <si>
    <t>MARTA BOTAS DUARTE GONÇALVES</t>
  </si>
  <si>
    <t>JOÃO PEDRO ROLO FIGUEIREDO</t>
  </si>
  <si>
    <t>CATARINA DUARTE MARTINS</t>
  </si>
  <si>
    <t>MARIANA OLIVEIRA LEITE</t>
  </si>
  <si>
    <t>MIGUEL XAVIER LIRA</t>
  </si>
  <si>
    <t>AFONSO ROSAS MARQUES DE OLIVEIRA RELVAS</t>
  </si>
  <si>
    <t>LEONOR MARQUES LEITE DE CARVALHO CAMPOS</t>
  </si>
  <si>
    <t>JOÃO HENRIQUE DE CASTRO MACHADO E SANTOS</t>
  </si>
  <si>
    <t>PEDRO ALEXANDRE LOPES MENESES DA SILVA</t>
  </si>
  <si>
    <t>ANDRÉ SIMÃO CAMPINOS RAMOS</t>
  </si>
  <si>
    <t>MARIA CASSILDA SANTOS SILVA</t>
  </si>
  <si>
    <t>LUCAS LOUZADA DE ARAUJO</t>
  </si>
  <si>
    <t>ÂNGELA MARIA MARTINS DE ABREU RIBEIRO</t>
  </si>
  <si>
    <t>JOAO PEDRO SILVA MOREIRA</t>
  </si>
  <si>
    <t>FILIPA MARISA DUARTE MOTA</t>
  </si>
  <si>
    <t>MARIA EDUARDA DE MELO REDONDO FERNANDES</t>
  </si>
  <si>
    <t>VASCO ALEXANDRE COSTA</t>
  </si>
  <si>
    <t>LUZIA COUTO FERREIRA</t>
  </si>
  <si>
    <t>MARIA LEONOR DA SILVA SALGADO</t>
  </si>
  <si>
    <t>LARA BEATRIZ MOURA XAVIER FERNANDES</t>
  </si>
  <si>
    <t>GABRIEL CASTRO DA SILVA</t>
  </si>
  <si>
    <t>INÊS RAMOS BEBIANO</t>
  </si>
  <si>
    <t>VASCO ANTÓNIO CARVALHO ROCHA</t>
  </si>
  <si>
    <t>ANA MARIA FERNANDES ASSUNÇÃO</t>
  </si>
  <si>
    <t>ALEXANDRE FERREIRA DO VALE</t>
  </si>
  <si>
    <t>MATILDE SANTOS MARQUES</t>
  </si>
  <si>
    <t>MARTIM FILIPE TEIXEIRA DE SOUSA</t>
  </si>
  <si>
    <t>DIOGO VIEIRA NOGUEIRA</t>
  </si>
  <si>
    <t>EMA SOFIA PEÑAFUERTE DE ANDRADE E CASTRO</t>
  </si>
  <si>
    <t>ANA CAROLINA MATOS NEIVA</t>
  </si>
  <si>
    <t>PEDRO MIGUEL VALE LOUREIRO</t>
  </si>
  <si>
    <t>MARGARIDA CARNEIRO RIBEIRO</t>
  </si>
  <si>
    <t>MARIA INÊS DOS SANTOS TAVARES</t>
  </si>
  <si>
    <t>SOFIA FERREIRA LUÍS PORTUGAL COSTA</t>
  </si>
  <si>
    <t>MARIA JOÃO CURADO MENDES</t>
  </si>
  <si>
    <t>RAFAELA PEREIRA DE ANDRADE</t>
  </si>
  <si>
    <t>GABRIELA BRANDÃO E SOUSA RIBEIRO</t>
  </si>
  <si>
    <t>ALEXANDRE GUIMARÃES VIEIRA DOS SANTOS</t>
  </si>
  <si>
    <t>RUI MIGUEL CASAIS E SILVA</t>
  </si>
  <si>
    <t>RODRIGO AFONSO FERNANDES COELHO</t>
  </si>
  <si>
    <t>MARIA BEATRIZ DUARTE DA SILVA GARRIDO MOREIRA</t>
  </si>
  <si>
    <t>BENEDITA TEIXEIRA RIBEIRO</t>
  </si>
  <si>
    <t>LUÍS TADEU TAVEIRA MACHADO</t>
  </si>
  <si>
    <t>CAROLINA MÀXIMO CORREIA</t>
  </si>
  <si>
    <t>FRANCISCO DO CARMO GUEDES MAGALHÃES TAVARES</t>
  </si>
  <si>
    <t>JOÃO TAVARES FERREIRA</t>
  </si>
  <si>
    <t>SOFIA RAQUEL PINHEIRO MOREIRA</t>
  </si>
  <si>
    <t>FILIPE MANUEL COUTINHO SAMBENTO</t>
  </si>
  <si>
    <t>CARLOS FILIPE FERNANDES AFONSO</t>
  </si>
  <si>
    <t>BÁRBARA SOFIA GONÇALVES OLIVEIRA</t>
  </si>
  <si>
    <t>RITA BELO MOURA ALBERTO</t>
  </si>
  <si>
    <t>CLÁUDIA MAGALHÃES FERNANDES</t>
  </si>
  <si>
    <t>BEATRIZ NEVES PARENTE VIEIRA PINTO</t>
  </si>
  <si>
    <t>ANA CAROLINA DA SILVA CARDOSO</t>
  </si>
  <si>
    <t>ANA RITA CAMBAO ROQUE VIEIRA</t>
  </si>
  <si>
    <t>ADRIANA DA SILVA OLIVEIRA</t>
  </si>
  <si>
    <t>BEATRIZ MARINHO DA SILVA RIBEIRO COELHO</t>
  </si>
  <si>
    <t>BERNARDO CHEN YE</t>
  </si>
  <si>
    <t>PEDRO MIGUEL GOMES MARTINS</t>
  </si>
  <si>
    <t>MARIANA FERREIRA PINTO</t>
  </si>
  <si>
    <t>MIGUEL CARVALHO GOUVEIA MEXEDO</t>
  </si>
  <si>
    <t>XAVIER VIEIRA PINTO</t>
  </si>
  <si>
    <t>MARIA INÊS SOUSA SÁ</t>
  </si>
  <si>
    <t>HUGO ALEXANDRE PINHEIRO MALCATO</t>
  </si>
  <si>
    <t>FRANCISCO LUIS MOTA MARQUES DA SILVA PICOTO</t>
  </si>
  <si>
    <t>PEDRO MIGUEL GASPAR MURTEIRA</t>
  </si>
  <si>
    <t>DIOGO ANDRÉ SILVA SIMÕES ALMEIDA</t>
  </si>
  <si>
    <t>FERNANDO MIGUEL PINTO ESPERANÇA</t>
  </si>
  <si>
    <t>TIAGO JOSÉ BORGES QUINTAS</t>
  </si>
  <si>
    <t>PEDRO MIGUEL GUEDES FERREIRA</t>
  </si>
  <si>
    <t>PEDRO MIGUEL SILVA MENDES</t>
  </si>
  <si>
    <t>SANDRA MOREIRA SANTOS</t>
  </si>
  <si>
    <t>MARIA CAROLINA CRESPO MODESTO FERREIRA</t>
  </si>
  <si>
    <t>MARIANA PINHO RIBEIRO</t>
  </si>
  <si>
    <t>JOANA RAQUEL HENRIQUES FARIA</t>
  </si>
  <si>
    <t>JÉSSICA SOUSA COSTA</t>
  </si>
  <si>
    <t>JOSÉ CARLOS FONSECA NUNES</t>
  </si>
  <si>
    <t>INÊS DE AZEVEDO FILIPE</t>
  </si>
  <si>
    <t>DIOGO MIGUEL TABORDA BARATA</t>
  </si>
  <si>
    <t>RAQUEL ROMÃO SOARES PINTO</t>
  </si>
  <si>
    <t>JÚLIA SOUSA GOULART</t>
  </si>
  <si>
    <t>EMA RENATA DA ROCHA ALVES</t>
  </si>
  <si>
    <t>ÍRIS GARCIA FONSECA</t>
  </si>
  <si>
    <t>JOÃO PEDRO DOS SANTOS MORAIS</t>
  </si>
  <si>
    <t>RODRIGO LEITE GOMES NOGUEIRA</t>
  </si>
  <si>
    <t>JULIANA ALMEIDA CASTANHEIRA</t>
  </si>
  <si>
    <t>MARTA DUARTE LUZES</t>
  </si>
  <si>
    <t>DIOGO FERNANDO DE OLIVEIRA CARDOSO</t>
  </si>
  <si>
    <t>VASCO GABRIEL MARTINS LOPES</t>
  </si>
  <si>
    <t>LÉNIA RAQUEL AVEIRO FERREIRA</t>
  </si>
  <si>
    <t>ANA FILIPA DURÃO LIMA</t>
  </si>
  <si>
    <t>ANA BEATRIZ FERREIRA BATISTA</t>
  </si>
  <si>
    <t>ALEXANDRE PEREIRA DE ALMEIDA</t>
  </si>
  <si>
    <t>ANA MARGARIDA ALMEIDA SANTOS</t>
  </si>
  <si>
    <t>MARIANA TEIXEIRA FERREIRA</t>
  </si>
  <si>
    <t>LEONOR SILVA NOGUEIRA</t>
  </si>
  <si>
    <t>DANIELA FILIPA SOARES FORMIGO</t>
  </si>
  <si>
    <t>PAULA CRISTINA AZEVEDO JANES DA COSTA</t>
  </si>
  <si>
    <t>MARGARIDA HENRIQUES DE OLIVEIRA</t>
  </si>
  <si>
    <t>MATTEO MARROCCO</t>
  </si>
  <si>
    <t>ANTONIO CÉSAR CASTRO IGLESIAS</t>
  </si>
  <si>
    <t>JOÃO AFONSO DA SILVA ALMEIDA</t>
  </si>
  <si>
    <t>ANA AIDA GOMES VIEIRA MOREIRA DE SÁ</t>
  </si>
  <si>
    <t>BERNARDO FONSECA NEVES OLIVEIRA</t>
  </si>
  <si>
    <t>CAROLINA MELO E VALE MONETTO</t>
  </si>
  <si>
    <t>HENRIQUE SARMENTO CALDEIRA</t>
  </si>
  <si>
    <t>JOANA MARIA FREITAS GASPAR</t>
  </si>
  <si>
    <t>MARCO ANTÓNIO SILVA RODRIGUES</t>
  </si>
  <si>
    <t>ANA RAQUEL ARRAIOLOS VICENTE</t>
  </si>
  <si>
    <t>CAROLINA FERREIRA MARTINS</t>
  </si>
  <si>
    <t>LILIANA RAQUEL PEREIRA DA CUNHA</t>
  </si>
  <si>
    <t>CAROLINA AMOEDO DE SOUSA AFONSO</t>
  </si>
  <si>
    <t>CATARINA SANTOS RODRIGUES</t>
  </si>
  <si>
    <t>MARIA INÊS MARQUES LOPES</t>
  </si>
  <si>
    <t>ANA MARGARIDA DA COSTA COELHO</t>
  </si>
  <si>
    <t>CARLOS JOSÉ FONSECA E AZEVEDO</t>
  </si>
  <si>
    <t>EDGAR JOSE SANTANA SILVA</t>
  </si>
  <si>
    <t>MADALENA LOPES SANTOS MARTINS NABAIS</t>
  </si>
  <si>
    <t>INES DOS SANTOS MARTINS</t>
  </si>
  <si>
    <t>DIANA ALEXANDRA GUEDES VIEIRA</t>
  </si>
  <si>
    <t>MARIA MARGARIDA PINTO ROCHA</t>
  </si>
  <si>
    <t>BEATRIZ PINHEIRO PIRES</t>
  </si>
  <si>
    <t>CATARINA ALEXANDRA RAMOS MANJOLINHO COSTA</t>
  </si>
  <si>
    <t>MARIANA VIEIRA LIMA</t>
  </si>
  <si>
    <t>JOANA GONÇALVES FERREIRA</t>
  </si>
  <si>
    <t>PEDRO DANIEL VEIGA ALVES CAIO</t>
  </si>
  <si>
    <t>MARGARIDA DA COSTA MOREIRA</t>
  </si>
  <si>
    <t>GONÇALO ALBINO BORRELHO NETO</t>
  </si>
  <si>
    <t>INÊS ISABEL OLIVEIRA REBELO</t>
  </si>
  <si>
    <t>BERNARDO JOSÉ DE OLIVEIRA NUNES GOMES</t>
  </si>
  <si>
    <t>DUARTE TELES MARTINS</t>
  </si>
  <si>
    <t>CAROLINA RODRIGUES RABAÇAL</t>
  </si>
  <si>
    <t>JÚLIA MONIZ GANCHAS</t>
  </si>
  <si>
    <t>MARIA INÊS GASPAR SAMPAIO</t>
  </si>
  <si>
    <t>ALEXANDRA RODRIGUES ABREU DIAS</t>
  </si>
  <si>
    <t>maria.ines03@ua.pt</t>
  </si>
  <si>
    <t>acatarinafmarques@ua.pt</t>
  </si>
  <si>
    <t>marianamarques04@ua.pt</t>
  </si>
  <si>
    <t>mariaforte@ua.pt</t>
  </si>
  <si>
    <t>dani.teles@ua.pt</t>
  </si>
  <si>
    <t>joanammsilva@ua.pt</t>
  </si>
  <si>
    <t>joana.inacio8@ua.pt</t>
  </si>
  <si>
    <t>jpaabreu@ua.pt</t>
  </si>
  <si>
    <t>eduardacastro@ua.pt</t>
  </si>
  <si>
    <t>gasparbarbosa@ua.pt</t>
  </si>
  <si>
    <t>eliana.bettencourt@ua.pt</t>
  </si>
  <si>
    <t>diogo.gcanhoto@ua.pt</t>
  </si>
  <si>
    <t>gab.oliveira@ua.pt</t>
  </si>
  <si>
    <t>joaomat22@ua.pt</t>
  </si>
  <si>
    <t>marianagmoreira@ua.pt</t>
  </si>
  <si>
    <t>marianacordeiro05@ua.pt</t>
  </si>
  <si>
    <t>diogo.orfao@ua.pt</t>
  </si>
  <si>
    <t>beatriz.afonso@ua.pt</t>
  </si>
  <si>
    <t>alexander.antoni@ua.pt</t>
  </si>
  <si>
    <t>i.melo@ua.pt</t>
  </si>
  <si>
    <t>daniel.mota.leal@ua.pt</t>
  </si>
  <si>
    <t>maria.castro@ua.pt</t>
  </si>
  <si>
    <t>carolinacatalao@ua.pt</t>
  </si>
  <si>
    <t>rfigueiredo@ua.pt</t>
  </si>
  <si>
    <t>martabdg@ua.pt</t>
  </si>
  <si>
    <t>joaorolo03@ua.pt</t>
  </si>
  <si>
    <t>cdmartins@ua.pt</t>
  </si>
  <si>
    <t>marianaleite26@ua.pt</t>
  </si>
  <si>
    <t>miguelxlira7@ua.pt</t>
  </si>
  <si>
    <t>marques.afonso@ua.pt</t>
  </si>
  <si>
    <t>leonor.marques@ua.pt</t>
  </si>
  <si>
    <t>joaohenriquesantos@ua.pt</t>
  </si>
  <si>
    <t>pedrosilva5@ua.pt</t>
  </si>
  <si>
    <t>andresramos@ua.pt</t>
  </si>
  <si>
    <t>mcss@ua.pt</t>
  </si>
  <si>
    <t>lucaslouzada@ua.pt</t>
  </si>
  <si>
    <t>angelammaribeiro@ua.pt</t>
  </si>
  <si>
    <t>joaomoreira10@ua.pt</t>
  </si>
  <si>
    <t>filipamarisamota@ua.pt</t>
  </si>
  <si>
    <t>mar.eduarda@ua.pt</t>
  </si>
  <si>
    <t>vasco.costa@ua.pt</t>
  </si>
  <si>
    <t>luzia.ferreira@ua.pt</t>
  </si>
  <si>
    <t>leonorsalgado@ua.pt</t>
  </si>
  <si>
    <t>larabfernandes@ua.pt</t>
  </si>
  <si>
    <t>gabrielcastrosilva@ua.pt</t>
  </si>
  <si>
    <t>inesbebiano@ua.pt</t>
  </si>
  <si>
    <t>vasco.rocha@ua.pt</t>
  </si>
  <si>
    <t>ana.assuncao31@ua.pt</t>
  </si>
  <si>
    <t>alex.vale@ua.pt</t>
  </si>
  <si>
    <t>matildem03@ua.pt</t>
  </si>
  <si>
    <t>martim.sousa@ua.pt</t>
  </si>
  <si>
    <t>diogonogueira@ua.pt</t>
  </si>
  <si>
    <t>emasofiacastro@ua.pt</t>
  </si>
  <si>
    <t>carolina.neiva@ua.pt</t>
  </si>
  <si>
    <t>pmvl@ua.pt</t>
  </si>
  <si>
    <t>margarida.ribeiro60@ua.pt</t>
  </si>
  <si>
    <t>mariainesst@ua.pt</t>
  </si>
  <si>
    <t>sofia.fcosta@ua.pt</t>
  </si>
  <si>
    <t>mariajcmendes@ua.pt</t>
  </si>
  <si>
    <t>rpa04@ua.pt</t>
  </si>
  <si>
    <t>gabriela.b.ribeiro@ua.pt</t>
  </si>
  <si>
    <t>alexandre.vieira.santos@ua.pt</t>
  </si>
  <si>
    <t>rui.silva5@ua.pt</t>
  </si>
  <si>
    <t>rodrigoafc@ua.pt</t>
  </si>
  <si>
    <t>beatrizdsgmoreira@ua.pt</t>
  </si>
  <si>
    <t>beneditar@ua.pt</t>
  </si>
  <si>
    <t>luismachado03@ua.pt</t>
  </si>
  <si>
    <t>carolinamaximocorreia@ua.pt</t>
  </si>
  <si>
    <t>franciscotavares@ua.pt</t>
  </si>
  <si>
    <t>joao.tferreira@ua.pt</t>
  </si>
  <si>
    <t>sofia.r.p.m@ua.pt</t>
  </si>
  <si>
    <t>filipesambento@ua.pt</t>
  </si>
  <si>
    <t>carlos.f.f.afonso@ua.pt</t>
  </si>
  <si>
    <t>barbaraoliveira02@ua.pt</t>
  </si>
  <si>
    <t>rita.alberto@ua.pt</t>
  </si>
  <si>
    <t>claudia.magalhaes@ua.pt</t>
  </si>
  <si>
    <t>beatrizparentepinto03@ua.pt</t>
  </si>
  <si>
    <t>carolina.cardoso@ua.pt</t>
  </si>
  <si>
    <t>rita.crvieira@ua.pt</t>
  </si>
  <si>
    <t>adrianaoliveira@ua.pt</t>
  </si>
  <si>
    <t>beatrizcoelho@ua.pt</t>
  </si>
  <si>
    <t>bernardoye@ua.pt</t>
  </si>
  <si>
    <t>pedromgmartins@ua.pt</t>
  </si>
  <si>
    <t>marianafpinto@ua.pt</t>
  </si>
  <si>
    <t>miguelmexedo03@ua.pt</t>
  </si>
  <si>
    <t>xavier.pinto@ua.pt</t>
  </si>
  <si>
    <t>maria.sa@ua.pt</t>
  </si>
  <si>
    <t>hapm@ua.pt</t>
  </si>
  <si>
    <t>picoto.francisco@ua.pt</t>
  </si>
  <si>
    <t>pedro.murteira@ua.pt</t>
  </si>
  <si>
    <t>dassalmeida@ua.pt</t>
  </si>
  <si>
    <t>fmiguelesperanca@ua.pt</t>
  </si>
  <si>
    <t>tquintas@ua.pt</t>
  </si>
  <si>
    <t>pedromgf@ua.pt</t>
  </si>
  <si>
    <t>pmiguelsilvamendes@ua.pt</t>
  </si>
  <si>
    <t>san.santos@ua.pt</t>
  </si>
  <si>
    <t>ferreira.carol@ua.pt</t>
  </si>
  <si>
    <t>mariana.pribeiro@ua.pt</t>
  </si>
  <si>
    <t>joanafaria@ua.pt</t>
  </si>
  <si>
    <t>jessi.costa@ua.pt</t>
  </si>
  <si>
    <t>jcnunes@ua.pt</t>
  </si>
  <si>
    <t>ines.filipe@ua.pt</t>
  </si>
  <si>
    <t>diogo.barata@ua.pt</t>
  </si>
  <si>
    <t>raquelrpinto@ua.pt</t>
  </si>
  <si>
    <t>juliagoulart@ua.pt</t>
  </si>
  <si>
    <t>renataalves@ua.pt</t>
  </si>
  <si>
    <t>irisfonseca@ua.pt</t>
  </si>
  <si>
    <t>joaomorais9@ua.pt</t>
  </si>
  <si>
    <t>rlgn@ua.pt</t>
  </si>
  <si>
    <t>juliana.ac@ua.pt</t>
  </si>
  <si>
    <t>martaduarteluzes@ua.pt</t>
  </si>
  <si>
    <t>diogocardoso99@ua.pt</t>
  </si>
  <si>
    <t>vasco.lopes@ua.pt</t>
  </si>
  <si>
    <t>leniaferreira01@ua.pt</t>
  </si>
  <si>
    <t>anafdlima@ua.pt</t>
  </si>
  <si>
    <t>ana.b.batista@ua.pt</t>
  </si>
  <si>
    <t>alex.almeida@ua.pt</t>
  </si>
  <si>
    <t>anmargaridaa@ua.pt</t>
  </si>
  <si>
    <t>marianatferreira@ua.pt</t>
  </si>
  <si>
    <t>leonor.nog@ua.pt</t>
  </si>
  <si>
    <t>daniela.fil@ua.pt</t>
  </si>
  <si>
    <t>paulaccosta@ua.pt</t>
  </si>
  <si>
    <t>marga.oliveira@ua.pt</t>
  </si>
  <si>
    <t>matteo.marrocco@ua.pt</t>
  </si>
  <si>
    <t>antonio.iglesias@ua.pt</t>
  </si>
  <si>
    <t>joao.afonso.salmeida@ua.pt</t>
  </si>
  <si>
    <t>anaaida@ua.pt</t>
  </si>
  <si>
    <t>berna.oliveira@ua.pt</t>
  </si>
  <si>
    <t>carol.melo@ua.pt</t>
  </si>
  <si>
    <t>h.caldeira@ua.pt</t>
  </si>
  <si>
    <t>joana.gaspar@ua.pt</t>
  </si>
  <si>
    <t>mar.ant@ua.pt</t>
  </si>
  <si>
    <t>raquelarraiolos@ua.pt</t>
  </si>
  <si>
    <t>cfmartins@ua.pt</t>
  </si>
  <si>
    <t>lilianacunha02@ua.pt</t>
  </si>
  <si>
    <t>carol.afonso@ua.pt</t>
  </si>
  <si>
    <t>catarinasantosrodrigues@ua.pt</t>
  </si>
  <si>
    <t>milopes@ua.pt</t>
  </si>
  <si>
    <t>ana.marg@ua.pt</t>
  </si>
  <si>
    <t>azevedocarlos@ua.pt</t>
  </si>
  <si>
    <t>edgarjsilva19@ua.pt</t>
  </si>
  <si>
    <t>madalenanabais@ua.pt</t>
  </si>
  <si>
    <t>inessantosmartins@ua.pt</t>
  </si>
  <si>
    <t>dag2@ua.pt</t>
  </si>
  <si>
    <t>mmrocha@ua.pt</t>
  </si>
  <si>
    <t>beatrizppires@ua.pt</t>
  </si>
  <si>
    <t>catarina.costa21@ua.pt</t>
  </si>
  <si>
    <t>mvlima@ua.pt</t>
  </si>
  <si>
    <t>joanagf@ua.pt</t>
  </si>
  <si>
    <t>pedro.caio@ua.pt</t>
  </si>
  <si>
    <t>margaridacmoreira18@ua.pt</t>
  </si>
  <si>
    <t>goncaloalbino@ua.pt</t>
  </si>
  <si>
    <t>ines.i.o.r@ua.pt</t>
  </si>
  <si>
    <t>nunes.gomes@ua.pt</t>
  </si>
  <si>
    <t>duarteteles@ua.pt</t>
  </si>
  <si>
    <t>carolinarodriguesrabacal@ua.pt</t>
  </si>
  <si>
    <t>juliaganchas@ua.pt</t>
  </si>
  <si>
    <t>maria.sampaio@ua.pt</t>
  </si>
  <si>
    <t>alexandradias@ua.pt</t>
  </si>
  <si>
    <t>TP2</t>
  </si>
  <si>
    <t>TP1</t>
  </si>
  <si>
    <t>NO_TP</t>
  </si>
  <si>
    <t>P1a</t>
  </si>
  <si>
    <t>P8</t>
  </si>
  <si>
    <t>P2</t>
  </si>
  <si>
    <t>P10</t>
  </si>
  <si>
    <t>P7</t>
  </si>
  <si>
    <t>P6</t>
  </si>
  <si>
    <t>P5</t>
  </si>
  <si>
    <t>P1</t>
  </si>
  <si>
    <t>P9</t>
  </si>
  <si>
    <t>P3</t>
  </si>
  <si>
    <t xml:space="preserve">O </t>
  </si>
  <si>
    <t>ESTATÍSTICAS GERAIS DA TURMA</t>
  </si>
  <si>
    <t>Total de alunos</t>
  </si>
  <si>
    <t>Aprovados</t>
  </si>
  <si>
    <t>Reprovados</t>
  </si>
  <si>
    <t>Percentagem de aprovação</t>
  </si>
  <si>
    <t>36,5%</t>
  </si>
  <si>
    <t>Média geral</t>
  </si>
  <si>
    <t>9,22</t>
  </si>
  <si>
    <t>Melhor nota</t>
  </si>
  <si>
    <t>13,00</t>
  </si>
  <si>
    <t>Pior nota</t>
  </si>
  <si>
    <t>6,00</t>
  </si>
  <si>
    <t>Mediana</t>
  </si>
  <si>
    <t>9,33</t>
  </si>
  <si>
    <t>Desvio padrão</t>
  </si>
  <si>
    <t>1,58</t>
  </si>
  <si>
    <t>Notas ≥ 16</t>
  </si>
  <si>
    <t>Notas ≥ 18</t>
  </si>
  <si>
    <t>Rótulos de Linha</t>
  </si>
  <si>
    <t>(em branco)</t>
  </si>
  <si>
    <t>Total Geral</t>
  </si>
  <si>
    <t>Contagem de REGIME</t>
  </si>
  <si>
    <t>T3</t>
  </si>
  <si>
    <t>Situação</t>
  </si>
  <si>
    <t>Aprovado</t>
  </si>
  <si>
    <t>Reprovado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</si>
</sst>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0808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ás Brás" refreshedDate="45988.994211921294" createdVersion="3" refreshedVersion="8" minRefreshableVersion="3" recordCount="159" xr:uid="{63A94AEE-07C9-44CA-AF3C-4E71D605E4C6}">
  <cacheSource type="worksheet">
    <worksheetSource ref="A1:L160" sheet="Sheet1"/>
  </cacheSource>
  <cacheFields count="20">
    <cacheField name="Número mecanográfico" numFmtId="0">
      <sharedItems containsSemiMixedTypes="0" containsString="0" containsNumber="1" containsInteger="1" minValue="93274" maxValue="111224"/>
    </cacheField>
    <cacheField name="Nome" numFmtId="0">
      <sharedItems/>
    </cacheField>
    <cacheField name="Endereço de e-mail" numFmtId="0">
      <sharedItems/>
    </cacheField>
    <cacheField name="Código de curso" numFmtId="0">
      <sharedItems containsSemiMixedTypes="0" containsString="0" containsNumber="1" containsInteger="1" minValue="1000" maxValue="9179"/>
    </cacheField>
    <cacheField name="TP" numFmtId="0">
      <sharedItems/>
    </cacheField>
    <cacheField name="P" numFmtId="0">
      <sharedItems containsBlank="1"/>
    </cacheField>
    <cacheField name="REGIME" numFmtId="0">
      <sharedItems containsBlank="1"/>
    </cacheField>
    <cacheField name="Teste 1" numFmtId="0">
      <sharedItems containsSemiMixedTypes="0" containsString="0" containsNumber="1" containsInteger="1" minValue="8" maxValue="18"/>
    </cacheField>
    <cacheField name="T2_P1" numFmtId="0">
      <sharedItems containsSemiMixedTypes="0" containsString="0" containsNumber="1" containsInteger="1" minValue="1" maxValue="13"/>
    </cacheField>
    <cacheField name="T2_P2" numFmtId="0">
      <sharedItems containsSemiMixedTypes="0" containsString="0" containsNumber="1" containsInteger="1" minValue="1" maxValue="9"/>
    </cacheField>
    <cacheField name="T2_P3" numFmtId="0">
      <sharedItems containsSemiMixedTypes="0" containsString="0" containsNumber="1" containsInteger="1" minValue="1" maxValue="10"/>
    </cacheField>
    <cacheField name="T2_P4" numFmtId="0">
      <sharedItems containsSemiMixedTypes="0" containsString="0" containsNumber="1" containsInteger="1" minValue="1" maxValue="11"/>
    </cacheField>
    <cacheField name="T2_P5" numFmtId="0">
      <sharedItems containsSemiMixedTypes="0" containsString="0" containsNumber="1" containsInteger="1" minValue="1" maxValue="10"/>
    </cacheField>
    <cacheField name="Teste 2" numFmtId="0">
      <sharedItems containsSemiMixedTypes="0" containsString="0" containsNumber="1" containsInteger="1" minValue="7" maxValue="19"/>
    </cacheField>
    <cacheField name="Teste 3" numFmtId="0">
      <sharedItems containsSemiMixedTypes="0" containsString="0" containsNumber="1" containsInteger="1" minValue="2" maxValue="2"/>
    </cacheField>
    <cacheField name="Média" numFmtId="0">
      <sharedItems containsSemiMixedTypes="0" containsString="0" containsNumber="1" minValue="6" maxValue="13"/>
    </cacheField>
    <cacheField name="Situação" numFmtId="0">
      <sharedItems/>
    </cacheField>
    <cacheField name="MP" numFmtId="0">
      <sharedItems containsBlank="1"/>
    </cacheField>
    <cacheField name="Nota Necessária" numFmtId="0">
      <sharedItems containsMixedTypes="1" containsNumber="1" containsInteger="1" minValue="3" maxValue="14"/>
    </cacheField>
    <cacheField name="Melhoria Re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ás Brás" refreshedDate="45988.994384606478" createdVersion="3" refreshedVersion="8" minRefreshableVersion="3" recordCount="159" xr:uid="{3A9F8192-C892-4380-8BF9-570D1CD0F915}">
  <cacheSource type="worksheet">
    <worksheetSource ref="A1:L160" sheet="Sheet1"/>
  </cacheSource>
  <cacheFields count="20">
    <cacheField name="Número mecanográfico" numFmtId="0">
      <sharedItems containsSemiMixedTypes="0" containsString="0" containsNumber="1" containsInteger="1" minValue="93274" maxValue="111224"/>
    </cacheField>
    <cacheField name="Nome" numFmtId="0">
      <sharedItems/>
    </cacheField>
    <cacheField name="Endereço de e-mail" numFmtId="0">
      <sharedItems/>
    </cacheField>
    <cacheField name="Código de curso" numFmtId="0">
      <sharedItems containsSemiMixedTypes="0" containsString="0" containsNumber="1" containsInteger="1" minValue="1000" maxValue="9179"/>
    </cacheField>
    <cacheField name="TP" numFmtId="0">
      <sharedItems/>
    </cacheField>
    <cacheField name="P" numFmtId="0">
      <sharedItems containsBlank="1"/>
    </cacheField>
    <cacheField name="REGIME" numFmtId="0">
      <sharedItems containsBlank="1"/>
    </cacheField>
    <cacheField name="Teste 1" numFmtId="0">
      <sharedItems containsSemiMixedTypes="0" containsString="0" containsNumber="1" containsInteger="1" minValue="8" maxValue="18"/>
    </cacheField>
    <cacheField name="T2_P1" numFmtId="0">
      <sharedItems containsSemiMixedTypes="0" containsString="0" containsNumber="1" containsInteger="1" minValue="1" maxValue="13"/>
    </cacheField>
    <cacheField name="T2_P2" numFmtId="0">
      <sharedItems containsSemiMixedTypes="0" containsString="0" containsNumber="1" containsInteger="1" minValue="1" maxValue="9"/>
    </cacheField>
    <cacheField name="T2_P3" numFmtId="0">
      <sharedItems containsSemiMixedTypes="0" containsString="0" containsNumber="1" containsInteger="1" minValue="1" maxValue="10"/>
    </cacheField>
    <cacheField name="T2_P4" numFmtId="0">
      <sharedItems containsSemiMixedTypes="0" containsString="0" containsNumber="1" containsInteger="1" minValue="1" maxValue="11"/>
    </cacheField>
    <cacheField name="T2_P5" numFmtId="0">
      <sharedItems containsSemiMixedTypes="0" containsString="0" containsNumber="1" containsInteger="1" minValue="1" maxValue="10"/>
    </cacheField>
    <cacheField name="Teste 2" numFmtId="0">
      <sharedItems containsSemiMixedTypes="0" containsString="0" containsNumber="1" containsInteger="1" minValue="7" maxValue="19"/>
    </cacheField>
    <cacheField name="Teste 3" numFmtId="0">
      <sharedItems containsSemiMixedTypes="0" containsString="0" containsNumber="1" containsInteger="1" minValue="2" maxValue="2"/>
    </cacheField>
    <cacheField name="Média" numFmtId="0">
      <sharedItems containsSemiMixedTypes="0" containsString="0" containsNumber="1" minValue="6" maxValue="13"/>
    </cacheField>
    <cacheField name="Situação" numFmtId="0">
      <sharedItems/>
    </cacheField>
    <cacheField name="MP" numFmtId="0">
      <sharedItems containsBlank="1"/>
    </cacheField>
    <cacheField name="Nota Necessária" numFmtId="0">
      <sharedItems containsMixedTypes="1" containsNumber="1" containsInteger="1" minValue="3" maxValue="14"/>
    </cacheField>
    <cacheField name="Melhoria Re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ás Brás" refreshedDate="45989.411829050929" createdVersion="3" refreshedVersion="8" minRefreshableVersion="3" recordCount="159" xr:uid="{36964127-7933-4FDE-BAEB-A576495528B7}">
  <cacheSource type="worksheet">
    <worksheetSource ref="A1:L160" sheet="Sheet1"/>
  </cacheSource>
  <cacheFields count="20">
    <cacheField name="Número mecanográfico" numFmtId="0">
      <sharedItems containsSemiMixedTypes="0" containsString="0" containsNumber="1" containsInteger="1" minValue="93274" maxValue="111224"/>
    </cacheField>
    <cacheField name="Nome" numFmtId="0">
      <sharedItems/>
    </cacheField>
    <cacheField name="Endereço de e-mail" numFmtId="0">
      <sharedItems/>
    </cacheField>
    <cacheField name="Código de curso" numFmtId="0">
      <sharedItems containsSemiMixedTypes="0" containsString="0" containsNumber="1" containsInteger="1" minValue="1000" maxValue="9179"/>
    </cacheField>
    <cacheField name="TP" numFmtId="0">
      <sharedItems/>
    </cacheField>
    <cacheField name="P" numFmtId="0">
      <sharedItems containsBlank="1"/>
    </cacheField>
    <cacheField name="REGIME" numFmtId="0">
      <sharedItems containsBlank="1"/>
    </cacheField>
    <cacheField name="Teste 1" numFmtId="0">
      <sharedItems containsSemiMixedTypes="0" containsString="0" containsNumber="1" containsInteger="1" minValue="8" maxValue="18"/>
    </cacheField>
    <cacheField name="T2_P1" numFmtId="0">
      <sharedItems containsSemiMixedTypes="0" containsString="0" containsNumber="1" containsInteger="1" minValue="1" maxValue="13"/>
    </cacheField>
    <cacheField name="T2_P2" numFmtId="0">
      <sharedItems containsSemiMixedTypes="0" containsString="0" containsNumber="1" containsInteger="1" minValue="1" maxValue="9"/>
    </cacheField>
    <cacheField name="T2_P3" numFmtId="0">
      <sharedItems containsSemiMixedTypes="0" containsString="0" containsNumber="1" containsInteger="1" minValue="1" maxValue="10"/>
    </cacheField>
    <cacheField name="T2_P4" numFmtId="0">
      <sharedItems containsSemiMixedTypes="0" containsString="0" containsNumber="1" containsInteger="1" minValue="1" maxValue="11"/>
    </cacheField>
    <cacheField name="T2_P5" numFmtId="0">
      <sharedItems containsSemiMixedTypes="0" containsString="0" containsNumber="1" containsInteger="1" minValue="1" maxValue="10"/>
    </cacheField>
    <cacheField name="Teste 2" numFmtId="0">
      <sharedItems containsSemiMixedTypes="0" containsString="0" containsNumber="1" containsInteger="1" minValue="7" maxValue="19"/>
    </cacheField>
    <cacheField name="Teste 3" numFmtId="0">
      <sharedItems containsSemiMixedTypes="0" containsString="0" containsNumber="1" containsInteger="1" minValue="2" maxValue="2"/>
    </cacheField>
    <cacheField name="Média" numFmtId="0">
      <sharedItems containsSemiMixedTypes="0" containsString="0" containsNumber="1" minValue="6" maxValue="13"/>
    </cacheField>
    <cacheField name="Situação" numFmtId="0">
      <sharedItems/>
    </cacheField>
    <cacheField name="MP" numFmtId="0">
      <sharedItems containsBlank="1"/>
    </cacheField>
    <cacheField name="Nota Necessária" numFmtId="0">
      <sharedItems containsMixedTypes="1" containsNumber="1" containsInteger="1" minValue="3" maxValue="14"/>
    </cacheField>
    <cacheField name="Melhoria Re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ás Brás" refreshedDate="45989.455470023146" createdVersion="3" refreshedVersion="8" minRefreshableVersion="3" recordCount="173" xr:uid="{14E08B6E-8134-44C3-88AF-E346E3265ABE}">
  <cacheSource type="worksheet">
    <worksheetSource ref="A1:L174" sheet="Sheet1"/>
  </cacheSource>
  <cacheFields count="20">
    <cacheField name="Número mecanográfico" numFmtId="0">
      <sharedItems containsString="0" containsBlank="1" containsNumber="1" containsInteger="1" minValue="93274" maxValue="111224"/>
    </cacheField>
    <cacheField name="Nome" numFmtId="0">
      <sharedItems containsBlank="1" count="172">
        <s v="MARIA INÊS OLIVEIRA SILVA"/>
        <s v="ANA CATARINA FONSECA MARQUES"/>
        <s v="MARIANA FIGUEIREDO MARQUES"/>
        <s v="MARIA JOÃO MATOS FORTE"/>
        <s v="DANIELA INÊS FERREIRA TELES"/>
        <s v="JOANA MONTEIRO MOREIRA DA SILVA"/>
        <s v="JOANA GOMES INÁCIO"/>
        <s v="JOSÉ PEDRO ALMEIDA ABREU"/>
        <s v="EDUARDA VILAS BOAS CASTRO"/>
        <s v="JOSÉ PEDRO GASPAR BARBOSA"/>
        <s v="ELIANA PERES BETTENCOURT"/>
        <s v="DIOGO GABRIEL ANTUNES CANHOTO"/>
        <s v="PEDRO GABRIEL DE OLIVEIRA CARRINHO"/>
        <s v="JOÃO MANUEL ANDRADE DOS SANTOS MENDONÇA TEIXEIRA"/>
        <s v="MARIANA GONÇALVES MOREIRA"/>
        <s v="MARIANA SOFIA GONÇALVES CORDEIRO"/>
        <s v="DIOGO MIGUEL RAMOS ÓRFÃO"/>
        <s v="BEATRIZ MARTINS AFONSO"/>
        <s v="ALEXANDER ANTONIO RODRIGUES SIMÕES"/>
        <s v="INÊS MARGARIDA PINHEIRO DE MELO"/>
        <s v="DANIEL FILIPE MOTA LEAL"/>
        <s v="MARIA MIGUEL LOPES DE CASTRO"/>
        <s v="CAROLINA FERREIRA CATALAO"/>
        <s v="RICARDO OLIVEIRA FIGUEIREDO"/>
        <s v="MARTA BOTAS DUARTE GONÇALVES"/>
        <s v="JOÃO PEDRO ROLO FIGUEIREDO"/>
        <s v="CATARINA DUARTE MARTINS"/>
        <s v="MARIANA OLIVEIRA LEITE"/>
        <s v="MIGUEL XAVIER LIRA"/>
        <s v="AFONSO ROSAS MARQUES DE OLIVEIRA RELVAS"/>
        <s v="LEONOR MARQUES LEITE DE CARVALHO CAMPOS"/>
        <s v="JOÃO HENRIQUE DE CASTRO MACHADO E SANTOS"/>
        <s v="PEDRO ALEXANDRE LOPES MENESES DA SILVA"/>
        <s v="ANDRÉ SIMÃO CAMPINOS RAMOS"/>
        <s v="MARIA CASSILDA SANTOS SILVA"/>
        <s v="LUCAS LOUZADA DE ARAUJO"/>
        <s v="ÂNGELA MARIA MARTINS DE ABREU RIBEIRO"/>
        <s v="JOAO PEDRO SILVA MOREIRA"/>
        <s v="FILIPA MARISA DUARTE MOTA"/>
        <s v="MARIA EDUARDA DE MELO REDONDO FERNANDES"/>
        <s v="VASCO ALEXANDRE COSTA"/>
        <s v="LUZIA COUTO FERREIRA"/>
        <s v="MARIA LEONOR DA SILVA SALGADO"/>
        <s v="LARA BEATRIZ MOURA XAVIER FERNANDES"/>
        <s v="GABRIEL CASTRO DA SILVA"/>
        <s v="INÊS RAMOS BEBIANO"/>
        <s v="VASCO ANTÓNIO CARVALHO ROCHA"/>
        <s v="ANA MARIA FERNANDES ASSUNÇÃO"/>
        <s v="ALEXANDRE FERREIRA DO VALE"/>
        <s v="MATILDE SANTOS MARQUES"/>
        <s v="MARTIM FILIPE TEIXEIRA DE SOUSA"/>
        <s v="DIOGO VIEIRA NOGUEIRA"/>
        <s v="EMA SOFIA PEÑAFUERTE DE ANDRADE E CASTRO"/>
        <s v="ANA CAROLINA MATOS NEIVA"/>
        <s v="PEDRO MIGUEL VALE LOUREIRO"/>
        <s v="MARGARIDA CARNEIRO RIBEIRO"/>
        <s v="MARIA INÊS DOS SANTOS TAVARES"/>
        <s v="SOFIA FERREIRA LUÍS PORTUGAL COSTA"/>
        <s v="MARIA JOÃO CURADO MENDES"/>
        <s v="RAFAELA PEREIRA DE ANDRADE"/>
        <s v="GABRIELA BRANDÃO E SOUSA RIBEIRO"/>
        <s v="ALEXANDRE GUIMARÃES VIEIRA DOS SANTOS"/>
        <s v="RUI MIGUEL CASAIS E SILVA"/>
        <s v="RODRIGO AFONSO FERNANDES COELHO"/>
        <s v="MARIA BEATRIZ DUARTE DA SILVA GARRIDO MOREIRA"/>
        <s v="BENEDITA TEIXEIRA RIBEIRO"/>
        <s v="LUÍS TADEU TAVEIRA MACHADO"/>
        <s v="CAROLINA MÀXIMO CORREIA"/>
        <s v="FRANCISCO DO CARMO GUEDES MAGALHÃES TAVARES"/>
        <s v="JOÃO TAVARES FERREIRA"/>
        <s v="SOFIA RAQUEL PINHEIRO MOREIRA"/>
        <s v="FILIPE MANUEL COUTINHO SAMBENTO"/>
        <s v="CARLOS FILIPE FERNANDES AFONSO"/>
        <s v="BÁRBARA SOFIA GONÇALVES OLIVEIRA"/>
        <s v="RITA BELO MOURA ALBERTO"/>
        <s v="CLÁUDIA MAGALHÃES FERNANDES"/>
        <s v="BEATRIZ NEVES PARENTE VIEIRA PINTO"/>
        <s v="ANA CAROLINA DA SILVA CARDOSO"/>
        <s v="ANA RITA CAMBAO ROQUE VIEIRA"/>
        <s v="ADRIANA DA SILVA OLIVEIRA"/>
        <s v="BEATRIZ MARINHO DA SILVA RIBEIRO COELHO"/>
        <s v="BERNARDO CHEN YE"/>
        <s v="PEDRO MIGUEL GOMES MARTINS"/>
        <s v="MARIANA FERREIRA PINTO"/>
        <s v="MIGUEL CARVALHO GOUVEIA MEXEDO"/>
        <s v="XAVIER VIEIRA PINTO"/>
        <s v="MARIA INÊS SOUSA SÁ"/>
        <s v="HUGO ALEXANDRE PINHEIRO MALCATO"/>
        <s v="FRANCISCO LUIS MOTA MARQUES DA SILVA PICOTO"/>
        <s v="PEDRO MIGUEL GASPAR MURTEIRA"/>
        <s v="DIOGO ANDRÉ SILVA SIMÕES ALMEIDA"/>
        <s v="FERNANDO MIGUEL PINTO ESPERANÇA"/>
        <s v="TIAGO JOSÉ BORGES QUINTAS"/>
        <s v="PEDRO MIGUEL GUEDES FERREIRA"/>
        <s v="PEDRO MIGUEL SILVA MENDES"/>
        <s v="SANDRA MOREIRA SANTOS"/>
        <s v="MARIA CAROLINA CRESPO MODESTO FERREIRA"/>
        <s v="MARIANA PINHO RIBEIRO"/>
        <s v="JOANA RAQUEL HENRIQUES FARIA"/>
        <s v="JÉSSICA SOUSA COSTA"/>
        <s v="JOSÉ CARLOS FONSECA NUNES"/>
        <s v="INÊS DE AZEVEDO FILIPE"/>
        <s v="DIOGO MIGUEL TABORDA BARATA"/>
        <s v="RAQUEL ROMÃO SOARES PINTO"/>
        <s v="JÚLIA SOUSA GOULART"/>
        <s v="EMA RENATA DA ROCHA ALVES"/>
        <s v="ÍRIS GARCIA FONSECA"/>
        <s v="JOÃO PEDRO DOS SANTOS MORAIS"/>
        <s v="RODRIGO LEITE GOMES NOGUEIRA"/>
        <s v="JULIANA ALMEIDA CASTANHEIRA"/>
        <s v="MARTA DUARTE LUZES"/>
        <s v="DIOGO FERNANDO DE OLIVEIRA CARDOSO"/>
        <s v="VASCO GABRIEL MARTINS LOPES"/>
        <s v="LÉNIA RAQUEL AVEIRO FERREIRA"/>
        <s v="ANA FILIPA DURÃO LIMA"/>
        <s v="ANA BEATRIZ FERREIRA BATISTA"/>
        <s v="ALEXANDRE PEREIRA DE ALMEIDA"/>
        <s v="ANA MARGARIDA ALMEIDA SANTOS"/>
        <s v="MARIANA TEIXEIRA FERREIRA"/>
        <s v="LEONOR SILVA NOGUEIRA"/>
        <s v="DANIELA FILIPA SOARES FORMIGO"/>
        <s v="PAULA CRISTINA AZEVEDO JANES DA COSTA"/>
        <s v="MARGARIDA HENRIQUES DE OLIVEIRA"/>
        <s v="MATTEO MARROCCO"/>
        <s v="ANTONIO CÉSAR CASTRO IGLESIAS"/>
        <s v="JOÃO AFONSO DA SILVA ALMEIDA"/>
        <s v="ANA AIDA GOMES VIEIRA MOREIRA DE SÁ"/>
        <s v="BERNARDO FONSECA NEVES OLIVEIRA"/>
        <s v="CAROLINA MELO E VALE MONETTO"/>
        <s v="HENRIQUE SARMENTO CALDEIRA"/>
        <s v="JOANA MARIA FREITAS GASPAR"/>
        <s v="MARCO ANTÓNIO SILVA RODRIGUES"/>
        <s v="ANA RAQUEL ARRAIOLOS VICENTE"/>
        <s v="CAROLINA FERREIRA MARTINS"/>
        <s v="LILIANA RAQUEL PEREIRA DA CUNHA"/>
        <s v="CAROLINA AMOEDO DE SOUSA AFONSO"/>
        <s v="CATARINA SANTOS RODRIGUES"/>
        <s v="MARIA INÊS MARQUES LOPES"/>
        <s v="ANA MARGARIDA DA COSTA COELHO"/>
        <s v="CARLOS JOSÉ FONSECA E AZEVEDO"/>
        <s v="EDGAR JOSE SANTANA SILVA"/>
        <s v="MADALENA LOPES SANTOS MARTINS NABAIS"/>
        <s v="INES DOS SANTOS MARTINS"/>
        <s v="DIANA ALEXANDRA GUEDES VIEIRA"/>
        <s v="MARIA MARGARIDA PINTO ROCHA"/>
        <s v="BEATRIZ PINHEIRO PIRES"/>
        <s v="CATARINA ALEXANDRA RAMOS MANJOLINHO COSTA"/>
        <s v="MARIANA VIEIRA LIMA"/>
        <s v="JOANA GONÇALVES FERREIRA"/>
        <s v="PEDRO DANIEL VEIGA ALVES CAIO"/>
        <s v="MARGARIDA DA COSTA MOREIRA"/>
        <s v="GONÇALO ALBINO BORRELHO NETO"/>
        <s v="INÊS ISABEL OLIVEIRA REBELO"/>
        <s v="BERNARDO JOSÉ DE OLIVEIRA NUNES GOMES"/>
        <s v="DUARTE TELES MARTINS"/>
        <s v="CAROLINA RODRIGUES RABAÇAL"/>
        <s v="JÚLIA MONIZ GANCHAS"/>
        <s v="MARIA INÊS GASPAR SAMPAIO"/>
        <s v="ALEXANDRA RODRIGUES ABREU DIAS"/>
        <m/>
        <s v="ESTATÍSTICAS GERAIS DA TURMA"/>
        <s v="Total de alunos"/>
        <s v="Aprovados"/>
        <s v="Reprovados"/>
        <s v="Percentagem de aprovação"/>
        <s v="Média geral"/>
        <s v="Melhor nota"/>
        <s v="Pior nota"/>
        <s v="Mediana"/>
        <s v="Desvio padrão"/>
        <s v="Notas ≥ 16"/>
        <s v="Notas ≥ 18"/>
      </sharedItems>
    </cacheField>
    <cacheField name="Endereço de e-mail" numFmtId="0">
      <sharedItems containsBlank="1" containsMixedTypes="1" containsNumber="1" containsInteger="1" minValue="0" maxValue="159"/>
    </cacheField>
    <cacheField name="Código de curso" numFmtId="0">
      <sharedItems containsString="0" containsBlank="1" containsNumber="1" containsInteger="1" minValue="1000" maxValue="9179"/>
    </cacheField>
    <cacheField name="TP" numFmtId="0">
      <sharedItems containsBlank="1"/>
    </cacheField>
    <cacheField name="P" numFmtId="0">
      <sharedItems containsBlank="1"/>
    </cacheField>
    <cacheField name="REGIME" numFmtId="0">
      <sharedItems containsBlank="1"/>
    </cacheField>
    <cacheField name="Teste 1" numFmtId="0">
      <sharedItems containsString="0" containsBlank="1" containsNumber="1" containsInteger="1" minValue="8" maxValue="18"/>
    </cacheField>
    <cacheField name="T2_P1" numFmtId="0">
      <sharedItems containsString="0" containsBlank="1" containsNumber="1" containsInteger="1" minValue="1" maxValue="13"/>
    </cacheField>
    <cacheField name="T2_P2" numFmtId="0">
      <sharedItems containsString="0" containsBlank="1" containsNumber="1" containsInteger="1" minValue="1" maxValue="9"/>
    </cacheField>
    <cacheField name="T2_P3" numFmtId="0">
      <sharedItems containsString="0" containsBlank="1" containsNumber="1" containsInteger="1" minValue="1" maxValue="10"/>
    </cacheField>
    <cacheField name="T2_P4" numFmtId="0">
      <sharedItems containsString="0" containsBlank="1" containsNumber="1" containsInteger="1" minValue="1" maxValue="11"/>
    </cacheField>
    <cacheField name="T2_P5" numFmtId="0">
      <sharedItems containsString="0" containsBlank="1" containsNumber="1" containsInteger="1" minValue="1" maxValue="10"/>
    </cacheField>
    <cacheField name="Teste 2" numFmtId="0">
      <sharedItems containsString="0" containsBlank="1" containsNumber="1" containsInteger="1" minValue="7" maxValue="19"/>
    </cacheField>
    <cacheField name="Teste 3" numFmtId="0">
      <sharedItems containsString="0" containsBlank="1" containsNumber="1" containsInteger="1" minValue="2" maxValue="2"/>
    </cacheField>
    <cacheField name="Média" numFmtId="0">
      <sharedItems containsString="0" containsBlank="1" containsNumber="1" minValue="6" maxValue="13"/>
    </cacheField>
    <cacheField name="Situação" numFmtId="0">
      <sharedItems containsBlank="1"/>
    </cacheField>
    <cacheField name="Melhoria Real" numFmtId="0">
      <sharedItems containsBlank="1"/>
    </cacheField>
    <cacheField name="MP" numFmtId="0">
      <sharedItems containsBlank="1"/>
    </cacheField>
    <cacheField name="Nota Necessária" numFmtId="0">
      <sharedItems containsBlank="1" containsMixedTypes="1" containsNumber="1" containsInteger="1" minValue="3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n v="107447"/>
    <s v="MARIA INÊS OLIVEIRA SILVA"/>
    <s v="maria.ines03@ua.pt"/>
    <n v="8314"/>
    <s v="TP2"/>
    <s v="P1a"/>
    <s v="O "/>
    <n v="13"/>
    <n v="2"/>
    <n v="1"/>
    <n v="3"/>
    <n v="2"/>
    <n v="7"/>
    <n v="15"/>
    <n v="2"/>
    <n v="10"/>
    <s v="Aprovado"/>
    <m/>
    <s v="—"/>
    <s v="Piorou (-13 valores, -86,7%)"/>
  </r>
  <r>
    <n v="94716"/>
    <s v="ANA CATARINA FONSECA MARQUES"/>
    <s v="acatarinafmarques@ua.pt"/>
    <n v="8246"/>
    <s v="TP1"/>
    <s v="P8"/>
    <s v="O "/>
    <n v="8"/>
    <n v="3"/>
    <n v="4"/>
    <n v="2"/>
    <n v="1"/>
    <n v="1"/>
    <n v="11"/>
    <n v="2"/>
    <n v="7"/>
    <s v="Reprovado"/>
    <s v="MP"/>
    <n v="11"/>
    <s v="Piorou (-9 valores, -81,8%)"/>
  </r>
  <r>
    <n v="107135"/>
    <s v="MARIANA FIGUEIREDO MARQUES"/>
    <s v="marianamarques04@ua.pt"/>
    <n v="8314"/>
    <s v="TP2"/>
    <s v="P2"/>
    <s v="O "/>
    <n v="11"/>
    <n v="1"/>
    <n v="3"/>
    <n v="4"/>
    <n v="1"/>
    <n v="1"/>
    <n v="10"/>
    <n v="2"/>
    <n v="7.666666666666667"/>
    <s v="Reprovado"/>
    <s v="MP"/>
    <n v="9"/>
    <s v="Piorou (-8 valores, -80%)"/>
  </r>
  <r>
    <n v="107390"/>
    <s v="MARIA JOÃO MATOS FORTE"/>
    <s v="mariaforte@ua.pt"/>
    <n v="8314"/>
    <s v="NO_TP"/>
    <m/>
    <m/>
    <n v="11"/>
    <n v="13"/>
    <n v="2"/>
    <n v="1"/>
    <n v="2"/>
    <n v="1"/>
    <n v="19"/>
    <n v="2"/>
    <n v="10.666666666666666"/>
    <s v="Aprovado"/>
    <m/>
    <s v="—"/>
    <s v="Piorou (-17 valores, -89,5%)"/>
  </r>
  <r>
    <n v="108121"/>
    <s v="DANIELA INÊS FERREIRA TELES"/>
    <s v="dani.teles@ua.pt"/>
    <n v="8314"/>
    <s v="TP1"/>
    <s v="P10"/>
    <s v="O "/>
    <n v="15"/>
    <n v="1"/>
    <n v="2"/>
    <n v="2"/>
    <n v="1"/>
    <n v="1"/>
    <n v="7"/>
    <n v="2"/>
    <n v="8"/>
    <s v="Reprovado"/>
    <s v="MP"/>
    <n v="8"/>
    <s v="Piorou (-5 valores, -71,4%)"/>
  </r>
  <r>
    <n v="107242"/>
    <s v="JOANA MONTEIRO MOREIRA DA SILVA"/>
    <s v="joanammsilva@ua.pt"/>
    <n v="8314"/>
    <s v="TP1"/>
    <s v="P7"/>
    <s v="O "/>
    <n v="17"/>
    <n v="1"/>
    <n v="1"/>
    <n v="1"/>
    <n v="4"/>
    <n v="4"/>
    <n v="11"/>
    <n v="2"/>
    <n v="10"/>
    <s v="Aprovado"/>
    <m/>
    <s v="—"/>
    <s v="Piorou (-9 valores, -81,8%)"/>
  </r>
  <r>
    <n v="108589"/>
    <s v="JOANA GOMES INÁCIO"/>
    <s v="joana.inacio8@ua.pt"/>
    <n v="8314"/>
    <s v="TP2"/>
    <s v="P6"/>
    <s v="O "/>
    <n v="11"/>
    <n v="1"/>
    <n v="2"/>
    <n v="2"/>
    <n v="1"/>
    <n v="4"/>
    <n v="10"/>
    <n v="2"/>
    <n v="7.666666666666667"/>
    <s v="Reprovado"/>
    <s v="MP"/>
    <n v="9"/>
    <s v="Piorou (-8 valores, -80%)"/>
  </r>
  <r>
    <n v="108522"/>
    <s v="JOSÉ PEDRO ALMEIDA ABREU"/>
    <s v="jpaabreu@ua.pt"/>
    <n v="8315"/>
    <s v="TP1"/>
    <s v="P7"/>
    <s v="O "/>
    <n v="13"/>
    <n v="2"/>
    <n v="3"/>
    <n v="3"/>
    <n v="1"/>
    <n v="9"/>
    <n v="18"/>
    <n v="2"/>
    <n v="11"/>
    <s v="Aprovado"/>
    <m/>
    <s v="—"/>
    <s v="Piorou (-16 valores, -88,9%)"/>
  </r>
  <r>
    <n v="107218"/>
    <s v="EDUARDA VILAS BOAS CASTRO"/>
    <s v="eduardacastro@ua.pt"/>
    <n v="8314"/>
    <s v="TP2"/>
    <s v="P5"/>
    <s v="O "/>
    <n v="10"/>
    <n v="2"/>
    <n v="2"/>
    <n v="6"/>
    <n v="7"/>
    <n v="2"/>
    <n v="19"/>
    <n v="2"/>
    <n v="10.333333333333334"/>
    <s v="Aprovado"/>
    <m/>
    <s v="—"/>
    <s v="Piorou (-17 valores, -89,5%)"/>
  </r>
  <r>
    <n v="108189"/>
    <s v="JOSÉ PEDRO GASPAR BARBOSA"/>
    <s v="gasparbarbosa@ua.pt"/>
    <n v="8314"/>
    <s v="TP2"/>
    <s v="P2"/>
    <s v="O "/>
    <n v="12"/>
    <n v="1"/>
    <n v="1"/>
    <n v="2"/>
    <n v="5"/>
    <n v="4"/>
    <n v="13"/>
    <n v="2"/>
    <n v="9"/>
    <s v="Reprovado"/>
    <s v="MP"/>
    <n v="5"/>
    <s v="Piorou (-11 valores, -84,6%)"/>
  </r>
  <r>
    <n v="107372"/>
    <s v="ELIANA PERES BETTENCOURT"/>
    <s v="eliana.bettencourt@ua.pt"/>
    <n v="8314"/>
    <s v="TP2"/>
    <s v="P2"/>
    <s v="O "/>
    <n v="15"/>
    <n v="6"/>
    <n v="4"/>
    <n v="1"/>
    <n v="4"/>
    <n v="1"/>
    <n v="16"/>
    <n v="2"/>
    <n v="11"/>
    <s v="Aprovado"/>
    <m/>
    <s v="—"/>
    <s v="Piorou (-14 valores, -87,5%)"/>
  </r>
  <r>
    <n v="108957"/>
    <s v="DIOGO GABRIEL ANTUNES CANHOTO"/>
    <s v="diogo.gcanhoto@ua.pt"/>
    <n v="8314"/>
    <s v="TP1"/>
    <s v="P8"/>
    <s v="O "/>
    <n v="14"/>
    <n v="1"/>
    <n v="5"/>
    <n v="2"/>
    <n v="5"/>
    <n v="5"/>
    <n v="18"/>
    <n v="2"/>
    <n v="11.333333333333334"/>
    <s v="Aprovado"/>
    <m/>
    <s v="—"/>
    <s v="Piorou (-16 valores, -88,9%)"/>
  </r>
  <r>
    <n v="107440"/>
    <s v="PEDRO GABRIEL DE OLIVEIRA CARRINHO"/>
    <s v="gab.oliveira@ua.pt"/>
    <n v="8314"/>
    <s v="TP2"/>
    <s v="P1"/>
    <s v="O "/>
    <n v="16"/>
    <n v="5"/>
    <n v="1"/>
    <n v="2"/>
    <n v="5"/>
    <n v="2"/>
    <n v="15"/>
    <n v="2"/>
    <n v="11"/>
    <s v="Aprovado"/>
    <m/>
    <s v="—"/>
    <s v="Piorou (-13 valores, -86,7%)"/>
  </r>
  <r>
    <n v="108188"/>
    <s v="JOÃO MANUEL ANDRADE DOS SANTOS MENDONÇA TEIXEIRA"/>
    <s v="joaomat22@ua.pt"/>
    <n v="8314"/>
    <s v="TP2"/>
    <s v="P1"/>
    <s v="O "/>
    <n v="16"/>
    <n v="1"/>
    <n v="2"/>
    <n v="1"/>
    <n v="2"/>
    <n v="1"/>
    <n v="7"/>
    <n v="2"/>
    <n v="8.3333333333333339"/>
    <s v="Reprovado"/>
    <s v="MP"/>
    <n v="7"/>
    <s v="Piorou (-5 valores, -71,4%)"/>
  </r>
  <r>
    <n v="108855"/>
    <s v="MARIANA GONÇALVES MOREIRA"/>
    <s v="marianagmoreira@ua.pt"/>
    <n v="8314"/>
    <s v="TP1"/>
    <s v="P8"/>
    <s v="O "/>
    <n v="18"/>
    <n v="2"/>
    <n v="1"/>
    <n v="7"/>
    <n v="1"/>
    <n v="4"/>
    <n v="15"/>
    <n v="2"/>
    <n v="11.666666666666666"/>
    <s v="Aprovado"/>
    <m/>
    <s v="—"/>
    <s v="Piorou (-13 valores, -86,7%)"/>
  </r>
  <r>
    <n v="108672"/>
    <s v="MARIANA SOFIA GONÇALVES CORDEIRO"/>
    <s v="marianacordeiro05@ua.pt"/>
    <n v="8314"/>
    <s v="TP1"/>
    <s v="P8"/>
    <s v="O "/>
    <n v="9"/>
    <n v="1"/>
    <n v="4"/>
    <n v="1"/>
    <n v="1"/>
    <n v="5"/>
    <n v="12"/>
    <n v="2"/>
    <n v="7.666666666666667"/>
    <s v="Reprovado"/>
    <s v="MP"/>
    <n v="9"/>
    <s v="Piorou (-10 valores, -83,3%)"/>
  </r>
  <r>
    <n v="108138"/>
    <s v="DIOGO MIGUEL RAMOS ÓRFÃO"/>
    <s v="diogo.orfao@ua.pt"/>
    <n v="8314"/>
    <s v="TP2"/>
    <s v="P1"/>
    <s v="O "/>
    <n v="14"/>
    <n v="3"/>
    <n v="1"/>
    <n v="2"/>
    <n v="5"/>
    <n v="5"/>
    <n v="16"/>
    <n v="2"/>
    <n v="10.666666666666666"/>
    <s v="Aprovado"/>
    <m/>
    <s v="—"/>
    <s v="Piorou (-14 valores, -87,5%)"/>
  </r>
  <r>
    <n v="107236"/>
    <s v="BEATRIZ MARTINS AFONSO"/>
    <s v="beatriz.afonso@ua.pt"/>
    <n v="8314"/>
    <s v="TP1"/>
    <s v="P8"/>
    <s v="O "/>
    <n v="15"/>
    <n v="1"/>
    <n v="2"/>
    <n v="1"/>
    <n v="2"/>
    <n v="1"/>
    <n v="7"/>
    <n v="2"/>
    <n v="8"/>
    <s v="Reprovado"/>
    <s v="MP"/>
    <n v="8"/>
    <s v="Piorou (-5 valores, -71,4%)"/>
  </r>
  <r>
    <n v="104204"/>
    <s v="ALEXANDER ANTONIO RODRIGUES SIMÕES"/>
    <s v="alexander.antoni@ua.pt"/>
    <n v="8307"/>
    <s v="TP1"/>
    <s v="P8"/>
    <s v="O "/>
    <n v="15"/>
    <n v="6"/>
    <n v="1"/>
    <n v="1"/>
    <n v="3"/>
    <n v="8"/>
    <n v="19"/>
    <n v="2"/>
    <n v="12"/>
    <s v="Aprovado"/>
    <m/>
    <s v="—"/>
    <s v="Piorou (-17 valores, -89,5%)"/>
  </r>
  <r>
    <n v="107428"/>
    <s v="INÊS MARGARIDA PINHEIRO DE MELO"/>
    <s v="i.melo@ua.pt"/>
    <n v="8314"/>
    <s v="TP1"/>
    <s v="P10"/>
    <s v="O "/>
    <n v="16"/>
    <n v="1"/>
    <n v="2"/>
    <n v="10"/>
    <n v="1"/>
    <n v="2"/>
    <n v="16"/>
    <n v="2"/>
    <n v="11.333333333333334"/>
    <s v="Aprovado"/>
    <m/>
    <s v="—"/>
    <s v="Piorou (-14 valores, -87,5%)"/>
  </r>
  <r>
    <n v="107259"/>
    <s v="DANIEL FILIPE MOTA LEAL"/>
    <s v="daniel.mota.leal@ua.pt"/>
    <n v="8314"/>
    <s v="TP1"/>
    <s v="P10"/>
    <s v="O "/>
    <n v="9"/>
    <n v="2"/>
    <n v="1"/>
    <n v="5"/>
    <n v="3"/>
    <n v="2"/>
    <n v="13"/>
    <n v="2"/>
    <n v="8"/>
    <s v="Reprovado"/>
    <s v="MP"/>
    <n v="8"/>
    <s v="Piorou (-11 valores, -84,6%)"/>
  </r>
  <r>
    <n v="100088"/>
    <s v="MARIA MIGUEL LOPES DE CASTRO"/>
    <s v="maria.castro@ua.pt"/>
    <n v="8307"/>
    <s v="TP2"/>
    <s v="P1"/>
    <s v="O "/>
    <n v="13"/>
    <n v="6"/>
    <n v="3"/>
    <n v="1"/>
    <n v="1"/>
    <n v="1"/>
    <n v="12"/>
    <n v="2"/>
    <n v="9"/>
    <s v="Reprovado"/>
    <s v="MP"/>
    <n v="5"/>
    <s v="Piorou (-10 valores, -83,3%)"/>
  </r>
  <r>
    <n v="108506"/>
    <s v="CAROLINA FERREIRA CATALAO"/>
    <s v="carolinacatalao@ua.pt"/>
    <n v="8314"/>
    <s v="TP2"/>
    <s v="P1"/>
    <s v="O "/>
    <n v="17"/>
    <n v="1"/>
    <n v="2"/>
    <n v="2"/>
    <n v="4"/>
    <n v="1"/>
    <n v="10"/>
    <n v="2"/>
    <n v="9.6666666666666661"/>
    <s v="Reprovado"/>
    <s v="MP"/>
    <n v="3"/>
    <s v="Piorou (-8 valores, -80%)"/>
  </r>
  <r>
    <n v="110376"/>
    <s v="RICARDO OLIVEIRA FIGUEIREDO"/>
    <s v="rfigueiredo@ua.pt"/>
    <n v="8314"/>
    <s v="TP2"/>
    <s v="P1"/>
    <s v="O "/>
    <n v="16"/>
    <n v="1"/>
    <n v="1"/>
    <n v="2"/>
    <n v="2"/>
    <n v="2"/>
    <n v="8"/>
    <n v="2"/>
    <n v="8.6666666666666661"/>
    <s v="Reprovado"/>
    <s v="MP"/>
    <n v="6"/>
    <s v="Piorou (-6 valores, -75%)"/>
  </r>
  <r>
    <n v="109038"/>
    <s v="MARTA BOTAS DUARTE GONÇALVES"/>
    <s v="martabdg@ua.pt"/>
    <n v="8314"/>
    <s v="TP1"/>
    <s v="P10"/>
    <s v="O "/>
    <n v="17"/>
    <n v="5"/>
    <n v="2"/>
    <n v="2"/>
    <n v="2"/>
    <n v="4"/>
    <n v="15"/>
    <n v="2"/>
    <n v="11.333333333333334"/>
    <s v="Aprovado"/>
    <m/>
    <s v="—"/>
    <s v="Piorou (-13 valores, -86,7%)"/>
  </r>
  <r>
    <n v="108727"/>
    <s v="JOÃO PEDRO ROLO FIGUEIREDO"/>
    <s v="joaorolo03@ua.pt"/>
    <n v="8314"/>
    <s v="TP1"/>
    <s v="P10"/>
    <s v="O "/>
    <n v="12"/>
    <n v="1"/>
    <n v="1"/>
    <n v="1"/>
    <n v="1"/>
    <n v="3"/>
    <n v="7"/>
    <n v="2"/>
    <n v="7"/>
    <s v="Reprovado"/>
    <s v="MP"/>
    <n v="11"/>
    <s v="Piorou (-5 valores, -71,4%)"/>
  </r>
  <r>
    <n v="93973"/>
    <s v="CATARINA DUARTE MARTINS"/>
    <s v="cdmartins@ua.pt"/>
    <n v="8307"/>
    <s v="TP1"/>
    <s v="P10"/>
    <s v="O "/>
    <n v="11"/>
    <n v="3"/>
    <n v="2"/>
    <n v="1"/>
    <n v="3"/>
    <n v="2"/>
    <n v="11"/>
    <n v="2"/>
    <n v="8"/>
    <s v="Reprovado"/>
    <s v="MP"/>
    <n v="8"/>
    <s v="Piorou (-9 valores, -81,8%)"/>
  </r>
  <r>
    <n v="108381"/>
    <s v="MARIANA OLIVEIRA LEITE"/>
    <s v="marianaleite26@ua.pt"/>
    <n v="8314"/>
    <s v="TP1"/>
    <s v="P10"/>
    <s v="O "/>
    <n v="8"/>
    <n v="3"/>
    <n v="2"/>
    <n v="2"/>
    <n v="2"/>
    <n v="9"/>
    <n v="18"/>
    <n v="2"/>
    <n v="9.3333333333333339"/>
    <s v="Reprovado"/>
    <s v="MP"/>
    <n v="4"/>
    <s v="Piorou (-16 valores, -88,9%)"/>
  </r>
  <r>
    <n v="108694"/>
    <s v="MIGUEL XAVIER LIRA"/>
    <s v="miguelxlira7@ua.pt"/>
    <n v="8314"/>
    <s v="TP1"/>
    <s v="P10"/>
    <s v="O "/>
    <n v="11"/>
    <n v="1"/>
    <n v="3"/>
    <n v="1"/>
    <n v="11"/>
    <n v="2"/>
    <n v="18"/>
    <n v="2"/>
    <n v="10.333333333333334"/>
    <s v="Aprovado"/>
    <m/>
    <s v="—"/>
    <s v="Piorou (-16 valores, -88,9%)"/>
  </r>
  <r>
    <n v="108421"/>
    <s v="AFONSO ROSAS MARQUES DE OLIVEIRA RELVAS"/>
    <s v="marques.afonso@ua.pt"/>
    <n v="8314"/>
    <s v="TP2"/>
    <s v="P1"/>
    <s v="O "/>
    <n v="13"/>
    <n v="1"/>
    <n v="2"/>
    <n v="1"/>
    <n v="4"/>
    <n v="8"/>
    <n v="16"/>
    <n v="2"/>
    <n v="10.333333333333334"/>
    <s v="Aprovado"/>
    <m/>
    <s v="—"/>
    <s v="Piorou (-14 valores, -87,5%)"/>
  </r>
  <r>
    <n v="108366"/>
    <s v="LEONOR MARQUES LEITE DE CARVALHO CAMPOS"/>
    <s v="leonor.marques@ua.pt"/>
    <n v="8314"/>
    <s v="TP1"/>
    <s v="P10"/>
    <s v="O "/>
    <n v="8"/>
    <n v="2"/>
    <n v="3"/>
    <n v="1"/>
    <n v="1"/>
    <n v="6"/>
    <n v="13"/>
    <n v="2"/>
    <n v="7.666666666666667"/>
    <s v="Reprovado"/>
    <s v="MP"/>
    <n v="9"/>
    <s v="Piorou (-11 valores, -84,6%)"/>
  </r>
  <r>
    <n v="109462"/>
    <s v="JOÃO HENRIQUE DE CASTRO MACHADO E SANTOS"/>
    <s v="joaohenriquesantos@ua.pt"/>
    <n v="8314"/>
    <s v="TP1"/>
    <s v="P10"/>
    <s v="O "/>
    <n v="10"/>
    <n v="5"/>
    <n v="4"/>
    <n v="1"/>
    <n v="1"/>
    <n v="1"/>
    <n v="12"/>
    <n v="2"/>
    <n v="8"/>
    <s v="Reprovado"/>
    <s v="MP"/>
    <n v="8"/>
    <s v="Piorou (-10 valores, -83,3%)"/>
  </r>
  <r>
    <n v="93742"/>
    <s v="PEDRO ALEXANDRE LOPES MENESES DA SILVA"/>
    <s v="pedrosilva5@ua.pt"/>
    <n v="8307"/>
    <s v="TP1"/>
    <s v="P10"/>
    <s v="O "/>
    <n v="11"/>
    <n v="2"/>
    <n v="3"/>
    <n v="5"/>
    <n v="2"/>
    <n v="2"/>
    <n v="14"/>
    <n v="2"/>
    <n v="9"/>
    <s v="Reprovado"/>
    <s v="MP"/>
    <n v="5"/>
    <s v="Piorou (-12 valores, -85,7%)"/>
  </r>
  <r>
    <n v="109000"/>
    <s v="ANDRÉ SIMÃO CAMPINOS RAMOS"/>
    <s v="andresramos@ua.pt"/>
    <n v="8314"/>
    <s v="TP1"/>
    <s v="P10"/>
    <s v="O "/>
    <n v="16"/>
    <n v="1"/>
    <n v="3"/>
    <n v="1"/>
    <n v="4"/>
    <n v="6"/>
    <n v="15"/>
    <n v="2"/>
    <n v="11"/>
    <s v="Aprovado"/>
    <m/>
    <s v="—"/>
    <s v="Piorou (-13 valores, -86,7%)"/>
  </r>
  <r>
    <n v="107769"/>
    <s v="MARIA CASSILDA SANTOS SILVA"/>
    <s v="mcss@ua.pt"/>
    <n v="8314"/>
    <s v="TP1"/>
    <s v="P8"/>
    <s v="O "/>
    <n v="9"/>
    <n v="1"/>
    <n v="1"/>
    <n v="2"/>
    <n v="7"/>
    <n v="4"/>
    <n v="15"/>
    <n v="2"/>
    <n v="8.6666666666666661"/>
    <s v="Reprovado"/>
    <s v="MP"/>
    <n v="6"/>
    <s v="Piorou (-13 valores, -86,7%)"/>
  </r>
  <r>
    <n v="101446"/>
    <s v="LUCAS LOUZADA DE ARAUJO"/>
    <s v="lucaslouzada@ua.pt"/>
    <n v="8307"/>
    <s v="TP2"/>
    <s v="P1"/>
    <s v="O "/>
    <n v="11"/>
    <n v="3"/>
    <n v="9"/>
    <n v="1"/>
    <n v="1"/>
    <n v="2"/>
    <n v="16"/>
    <n v="2"/>
    <n v="9.6666666666666661"/>
    <s v="Reprovado"/>
    <s v="MP"/>
    <n v="3"/>
    <s v="Piorou (-14 valores, -87,5%)"/>
  </r>
  <r>
    <n v="109061"/>
    <s v="ÂNGELA MARIA MARTINS DE ABREU RIBEIRO"/>
    <s v="angelammaribeiro@ua.pt"/>
    <n v="8314"/>
    <s v="TP1"/>
    <s v="P10"/>
    <s v="O "/>
    <n v="11"/>
    <n v="1"/>
    <n v="2"/>
    <n v="1"/>
    <n v="3"/>
    <n v="2"/>
    <n v="9"/>
    <n v="2"/>
    <n v="7.333333333333333"/>
    <s v="Reprovado"/>
    <s v="MP"/>
    <n v="10"/>
    <s v="Piorou (-7 valores, -77,8%)"/>
  </r>
  <r>
    <n v="107487"/>
    <s v="JOAO PEDRO SILVA MOREIRA"/>
    <s v="joaomoreira10@ua.pt"/>
    <n v="8314"/>
    <s v="TP2"/>
    <s v="P2"/>
    <s v="O "/>
    <n v="11"/>
    <n v="1"/>
    <n v="2"/>
    <n v="3"/>
    <n v="4"/>
    <n v="5"/>
    <n v="15"/>
    <n v="2"/>
    <n v="9.3333333333333339"/>
    <s v="Reprovado"/>
    <s v="MP"/>
    <n v="4"/>
    <s v="Piorou (-13 valores, -86,7%)"/>
  </r>
  <r>
    <n v="107436"/>
    <s v="FILIPA MARISA DUARTE MOTA"/>
    <s v="filipamarisamota@ua.pt"/>
    <n v="8314"/>
    <s v="TP2"/>
    <s v="P1"/>
    <s v="O "/>
    <n v="15"/>
    <n v="1"/>
    <n v="1"/>
    <n v="4"/>
    <n v="2"/>
    <n v="5"/>
    <n v="13"/>
    <n v="2"/>
    <n v="10"/>
    <s v="Aprovado"/>
    <m/>
    <s v="—"/>
    <s v="Piorou (-11 valores, -84,6%)"/>
  </r>
  <r>
    <n v="107529"/>
    <s v="MARIA EDUARDA DE MELO REDONDO FERNANDES"/>
    <s v="mar.eduarda@ua.pt"/>
    <n v="8314"/>
    <s v="TP1"/>
    <s v="P10"/>
    <s v="O "/>
    <n v="8"/>
    <n v="3"/>
    <n v="1"/>
    <n v="1"/>
    <n v="3"/>
    <n v="10"/>
    <n v="18"/>
    <n v="2"/>
    <n v="9.3333333333333339"/>
    <s v="Reprovado"/>
    <s v="MP"/>
    <n v="4"/>
    <s v="Piorou (-16 valores, -88,9%)"/>
  </r>
  <r>
    <n v="107879"/>
    <s v="VASCO ALEXANDRE COSTA"/>
    <s v="vasco.costa@ua.pt"/>
    <n v="8314"/>
    <s v="TP1"/>
    <s v="P10"/>
    <s v="O "/>
    <n v="9"/>
    <n v="3"/>
    <n v="1"/>
    <n v="2"/>
    <n v="2"/>
    <n v="5"/>
    <n v="13"/>
    <n v="2"/>
    <n v="8"/>
    <s v="Reprovado"/>
    <s v="MP"/>
    <n v="8"/>
    <s v="Piorou (-11 valores, -84,6%)"/>
  </r>
  <r>
    <n v="107788"/>
    <s v="LUZIA COUTO FERREIRA"/>
    <s v="luzia.ferreira@ua.pt"/>
    <n v="8314"/>
    <s v="TP1"/>
    <s v="P9"/>
    <s v="O "/>
    <n v="17"/>
    <n v="1"/>
    <n v="1"/>
    <n v="3"/>
    <n v="4"/>
    <n v="7"/>
    <n v="16"/>
    <n v="2"/>
    <n v="11.666666666666666"/>
    <s v="Aprovado"/>
    <m/>
    <s v="—"/>
    <s v="Piorou (-14 valores, -87,5%)"/>
  </r>
  <r>
    <n v="108449"/>
    <s v="MARIA LEONOR DA SILVA SALGADO"/>
    <s v="leonorsalgado@ua.pt"/>
    <n v="8314"/>
    <s v="TP1"/>
    <s v="P9"/>
    <s v="O "/>
    <n v="17"/>
    <n v="4"/>
    <n v="1"/>
    <n v="1"/>
    <n v="1"/>
    <n v="1"/>
    <n v="8"/>
    <n v="2"/>
    <n v="9"/>
    <s v="Reprovado"/>
    <s v="MP"/>
    <n v="5"/>
    <s v="Piorou (-6 valores, -75%)"/>
  </r>
  <r>
    <n v="108651"/>
    <s v="LARA BEATRIZ MOURA XAVIER FERNANDES"/>
    <s v="larabfernandes@ua.pt"/>
    <n v="8314"/>
    <s v="TP2"/>
    <s v="P2"/>
    <s v="O "/>
    <n v="8"/>
    <n v="3"/>
    <n v="1"/>
    <n v="1"/>
    <n v="3"/>
    <n v="5"/>
    <n v="13"/>
    <n v="2"/>
    <n v="7.666666666666667"/>
    <s v="Reprovado"/>
    <s v="MP"/>
    <n v="9"/>
    <s v="Piorou (-11 valores, -84,6%)"/>
  </r>
  <r>
    <n v="107560"/>
    <s v="GABRIEL CASTRO DA SILVA"/>
    <s v="gabrielcastrosilva@ua.pt"/>
    <n v="8314"/>
    <s v="TP1"/>
    <s v="P9"/>
    <s v="O "/>
    <n v="18"/>
    <n v="8"/>
    <n v="1"/>
    <n v="2"/>
    <n v="2"/>
    <n v="6"/>
    <n v="19"/>
    <n v="2"/>
    <n v="13"/>
    <s v="Aprovado"/>
    <m/>
    <s v="—"/>
    <s v="Piorou (-17 valores, -89,5%)"/>
  </r>
  <r>
    <n v="107977"/>
    <s v="INÊS RAMOS BEBIANO"/>
    <s v="inesbebiano@ua.pt"/>
    <n v="8314"/>
    <s v="TP1"/>
    <s v="P9"/>
    <s v="O "/>
    <n v="12"/>
    <n v="2"/>
    <n v="6"/>
    <n v="1"/>
    <n v="3"/>
    <n v="3"/>
    <n v="15"/>
    <n v="2"/>
    <n v="9.6666666666666661"/>
    <s v="Reprovado"/>
    <s v="MP"/>
    <n v="3"/>
    <s v="Piorou (-13 valores, -86,7%)"/>
  </r>
  <r>
    <n v="107369"/>
    <s v="VASCO ANTÓNIO CARVALHO ROCHA"/>
    <s v="vasco.rocha@ua.pt"/>
    <n v="8314"/>
    <s v="TP2"/>
    <s v="P2"/>
    <s v="O "/>
    <n v="15"/>
    <n v="6"/>
    <n v="2"/>
    <n v="2"/>
    <n v="4"/>
    <n v="1"/>
    <n v="15"/>
    <n v="2"/>
    <n v="10.666666666666666"/>
    <s v="Aprovado"/>
    <m/>
    <s v="—"/>
    <s v="Piorou (-13 valores, -86,7%)"/>
  </r>
  <r>
    <n v="108171"/>
    <s v="ANA MARIA FERNANDES ASSUNÇÃO"/>
    <s v="ana.assuncao31@ua.pt"/>
    <n v="8314"/>
    <s v="TP1"/>
    <s v="P9"/>
    <s v="O "/>
    <n v="11"/>
    <n v="1"/>
    <n v="1"/>
    <n v="5"/>
    <n v="2"/>
    <n v="1"/>
    <n v="10"/>
    <n v="2"/>
    <n v="7.666666666666667"/>
    <s v="Reprovado"/>
    <s v="MP"/>
    <n v="9"/>
    <s v="Piorou (-8 valores, -80%)"/>
  </r>
  <r>
    <n v="107920"/>
    <s v="ALEXANDRE FERREIRA DO VALE"/>
    <s v="alex.vale@ua.pt"/>
    <n v="8314"/>
    <s v="TP2"/>
    <s v="P1"/>
    <s v="O "/>
    <n v="10"/>
    <n v="2"/>
    <n v="3"/>
    <n v="1"/>
    <n v="1"/>
    <n v="2"/>
    <n v="9"/>
    <n v="2"/>
    <n v="7"/>
    <s v="Reprovado"/>
    <s v="MP"/>
    <n v="11"/>
    <s v="Piorou (-7 valores, -77,8%)"/>
  </r>
  <r>
    <n v="109342"/>
    <s v="MATILDE SANTOS MARQUES"/>
    <s v="matildem03@ua.pt"/>
    <n v="8314"/>
    <s v="TP1"/>
    <s v="P9"/>
    <s v="O "/>
    <n v="15"/>
    <n v="3"/>
    <n v="2"/>
    <n v="1"/>
    <n v="1"/>
    <n v="3"/>
    <n v="10"/>
    <n v="2"/>
    <n v="9"/>
    <s v="Reprovado"/>
    <s v="MP"/>
    <n v="5"/>
    <s v="Piorou (-8 valores, -80%)"/>
  </r>
  <r>
    <n v="108430"/>
    <s v="MARTIM FILIPE TEIXEIRA DE SOUSA"/>
    <s v="martim.sousa@ua.pt"/>
    <n v="8314"/>
    <s v="TP2"/>
    <s v="P2"/>
    <s v="O "/>
    <n v="10"/>
    <n v="3"/>
    <n v="9"/>
    <n v="2"/>
    <n v="2"/>
    <n v="1"/>
    <n v="17"/>
    <n v="2"/>
    <n v="9.6666666666666661"/>
    <s v="Reprovado"/>
    <s v="MP"/>
    <n v="3"/>
    <s v="Piorou (-15 valores, -88,2%)"/>
  </r>
  <r>
    <n v="108816"/>
    <s v="DIOGO VIEIRA NOGUEIRA"/>
    <s v="diogonogueira@ua.pt"/>
    <n v="8314"/>
    <s v="TP1"/>
    <s v="P9"/>
    <s v="O "/>
    <n v="8"/>
    <n v="5"/>
    <n v="4"/>
    <n v="4"/>
    <n v="1"/>
    <n v="5"/>
    <n v="19"/>
    <n v="2"/>
    <n v="9.6666666666666661"/>
    <s v="Reprovado"/>
    <s v="MP"/>
    <n v="3"/>
    <s v="Piorou (-17 valores, -89,5%)"/>
  </r>
  <r>
    <n v="108842"/>
    <s v="EMA SOFIA PEÑAFUERTE DE ANDRADE E CASTRO"/>
    <s v="emasofiacastro@ua.pt"/>
    <n v="8314"/>
    <s v="TP1"/>
    <s v="P9"/>
    <s v="O "/>
    <n v="8"/>
    <n v="1"/>
    <n v="6"/>
    <n v="1"/>
    <n v="4"/>
    <n v="1"/>
    <n v="13"/>
    <n v="2"/>
    <n v="7.666666666666667"/>
    <s v="Reprovado"/>
    <s v="MP"/>
    <n v="9"/>
    <s v="Piorou (-11 valores, -84,6%)"/>
  </r>
  <r>
    <n v="103797"/>
    <s v="ANA CAROLINA MATOS NEIVA"/>
    <s v="carolina.neiva@ua.pt"/>
    <n v="8307"/>
    <s v="TP1"/>
    <s v="P9"/>
    <s v="O "/>
    <n v="12"/>
    <n v="1"/>
    <n v="3"/>
    <n v="3"/>
    <n v="1"/>
    <n v="2"/>
    <n v="10"/>
    <n v="2"/>
    <n v="8"/>
    <s v="Reprovado"/>
    <s v="MP"/>
    <n v="8"/>
    <s v="Piorou (-8 valores, -80%)"/>
  </r>
  <r>
    <n v="107777"/>
    <s v="PEDRO MIGUEL VALE LOUREIRO"/>
    <s v="pmvl@ua.pt"/>
    <n v="8314"/>
    <s v="TP2"/>
    <s v="P1"/>
    <s v="O "/>
    <n v="13"/>
    <n v="3"/>
    <n v="1"/>
    <n v="1"/>
    <n v="4"/>
    <n v="4"/>
    <n v="13"/>
    <n v="2"/>
    <n v="9.3333333333333339"/>
    <s v="Reprovado"/>
    <s v="MP"/>
    <n v="4"/>
    <s v="Piorou (-11 valores, -84,6%)"/>
  </r>
  <r>
    <n v="107717"/>
    <s v="MARGARIDA CARNEIRO RIBEIRO"/>
    <s v="margarida.ribeiro60@ua.pt"/>
    <n v="8314"/>
    <s v="TP1"/>
    <s v="P9"/>
    <s v="O "/>
    <n v="13"/>
    <n v="4"/>
    <n v="1"/>
    <n v="3"/>
    <n v="2"/>
    <n v="2"/>
    <n v="12"/>
    <n v="2"/>
    <n v="9"/>
    <s v="Reprovado"/>
    <s v="MP"/>
    <n v="5"/>
    <s v="Piorou (-10 valores, -83,3%)"/>
  </r>
  <r>
    <n v="103443"/>
    <s v="MARIA INÊS DOS SANTOS TAVARES"/>
    <s v="mariainesst@ua.pt"/>
    <n v="8307"/>
    <s v="TP2"/>
    <s v="P1"/>
    <s v="O "/>
    <n v="14"/>
    <n v="2"/>
    <n v="4"/>
    <n v="2"/>
    <n v="1"/>
    <n v="5"/>
    <n v="14"/>
    <n v="2"/>
    <n v="10"/>
    <s v="Aprovado"/>
    <m/>
    <s v="—"/>
    <s v="Piorou (-12 valores, -85,7%)"/>
  </r>
  <r>
    <n v="108950"/>
    <s v="SOFIA FERREIRA LUÍS PORTUGAL COSTA"/>
    <s v="sofia.fcosta@ua.pt"/>
    <n v="8314"/>
    <s v="TP1"/>
    <s v="P9"/>
    <s v="O "/>
    <n v="16"/>
    <n v="3"/>
    <n v="6"/>
    <n v="1"/>
    <n v="1"/>
    <n v="7"/>
    <n v="18"/>
    <n v="2"/>
    <n v="12"/>
    <s v="Aprovado"/>
    <m/>
    <s v="—"/>
    <s v="Piorou (-16 valores, -88,9%)"/>
  </r>
  <r>
    <n v="108079"/>
    <s v="MARIA JOÃO CURADO MENDES"/>
    <s v="mariajcmendes@ua.pt"/>
    <n v="8314"/>
    <s v="TP1"/>
    <s v="P9"/>
    <s v="O "/>
    <n v="12"/>
    <n v="2"/>
    <n v="1"/>
    <n v="1"/>
    <n v="2"/>
    <n v="1"/>
    <n v="7"/>
    <n v="2"/>
    <n v="7"/>
    <s v="Reprovado"/>
    <s v="MP"/>
    <n v="11"/>
    <s v="Piorou (-5 valores, -71,4%)"/>
  </r>
  <r>
    <n v="109163"/>
    <s v="RAFAELA PEREIRA DE ANDRADE"/>
    <s v="rpa04@ua.pt"/>
    <n v="8314"/>
    <s v="TP1"/>
    <s v="P9"/>
    <s v="O "/>
    <n v="9"/>
    <n v="4"/>
    <n v="2"/>
    <n v="4"/>
    <n v="1"/>
    <n v="7"/>
    <n v="18"/>
    <n v="2"/>
    <n v="9.6666666666666661"/>
    <s v="Reprovado"/>
    <s v="MP"/>
    <n v="3"/>
    <s v="Piorou (-16 valores, -88,9%)"/>
  </r>
  <r>
    <n v="110347"/>
    <s v="GABRIELA BRANDÃO E SOUSA RIBEIRO"/>
    <s v="gabriela.b.ribeiro@ua.pt"/>
    <n v="8314"/>
    <s v="TP1"/>
    <s v="P9"/>
    <s v="O "/>
    <n v="12"/>
    <n v="2"/>
    <n v="3"/>
    <n v="1"/>
    <n v="1"/>
    <n v="8"/>
    <n v="15"/>
    <n v="2"/>
    <n v="9.6666666666666661"/>
    <s v="Reprovado"/>
    <s v="MP"/>
    <n v="3"/>
    <s v="Piorou (-13 valores, -86,7%)"/>
  </r>
  <r>
    <n v="109373"/>
    <s v="ALEXANDRE GUIMARÃES VIEIRA DOS SANTOS"/>
    <s v="alexandre.vieira.santos@ua.pt"/>
    <n v="8314"/>
    <s v="TP1"/>
    <s v="P9"/>
    <s v="O "/>
    <n v="17"/>
    <n v="3"/>
    <n v="1"/>
    <n v="4"/>
    <n v="2"/>
    <n v="1"/>
    <n v="11"/>
    <n v="2"/>
    <n v="10"/>
    <s v="Aprovado"/>
    <m/>
    <s v="—"/>
    <s v="Piorou (-9 valores, -81,8%)"/>
  </r>
  <r>
    <n v="103203"/>
    <s v="RUI MIGUEL CASAIS E SILVA"/>
    <s v="rui.silva5@ua.pt"/>
    <n v="8295"/>
    <s v="TP1"/>
    <s v="P5"/>
    <s v="O "/>
    <n v="18"/>
    <n v="2"/>
    <n v="5"/>
    <n v="2"/>
    <n v="4"/>
    <n v="4"/>
    <n v="17"/>
    <n v="2"/>
    <n v="12.333333333333334"/>
    <s v="Aprovado"/>
    <m/>
    <s v="—"/>
    <s v="Piorou (-15 valores, -88,2%)"/>
  </r>
  <r>
    <n v="107335"/>
    <s v="RODRIGO AFONSO FERNANDES COELHO"/>
    <s v="rodrigoafc@ua.pt"/>
    <n v="8314"/>
    <s v="TP2"/>
    <s v="P3"/>
    <s v="O "/>
    <n v="18"/>
    <n v="4"/>
    <n v="1"/>
    <n v="1"/>
    <n v="6"/>
    <n v="1"/>
    <n v="13"/>
    <n v="2"/>
    <n v="11"/>
    <s v="Aprovado"/>
    <m/>
    <s v="—"/>
    <s v="Piorou (-11 valores, -84,6%)"/>
  </r>
  <r>
    <n v="93345"/>
    <s v="MARIA BEATRIZ DUARTE DA SILVA GARRIDO MOREIRA"/>
    <s v="beatrizdsgmoreira@ua.pt"/>
    <n v="8250"/>
    <s v="TP2"/>
    <s v="P3"/>
    <s v="O "/>
    <n v="16"/>
    <n v="7"/>
    <n v="5"/>
    <n v="3"/>
    <n v="1"/>
    <n v="2"/>
    <n v="18"/>
    <n v="2"/>
    <n v="12"/>
    <s v="Aprovado"/>
    <m/>
    <s v="—"/>
    <s v="Piorou (-16 valores, -88,9%)"/>
  </r>
  <r>
    <n v="103409"/>
    <s v="BENEDITA TEIXEIRA RIBEIRO"/>
    <s v="beneditar@ua.pt"/>
    <n v="8307"/>
    <s v="TP1"/>
    <s v="P5"/>
    <s v="O "/>
    <n v="9"/>
    <n v="2"/>
    <n v="3"/>
    <n v="3"/>
    <n v="1"/>
    <n v="3"/>
    <n v="12"/>
    <n v="2"/>
    <n v="7.666666666666667"/>
    <s v="Reprovado"/>
    <s v="MP"/>
    <n v="9"/>
    <s v="Piorou (-10 valores, -83,3%)"/>
  </r>
  <r>
    <n v="108105"/>
    <s v="LUÍS TADEU TAVEIRA MACHADO"/>
    <s v="luismachado03@ua.pt"/>
    <n v="8314"/>
    <s v="TP1"/>
    <s v="P5"/>
    <s v="O "/>
    <n v="9"/>
    <n v="3"/>
    <n v="3"/>
    <n v="8"/>
    <n v="3"/>
    <n v="2"/>
    <n v="19"/>
    <n v="2"/>
    <n v="10"/>
    <s v="Aprovado"/>
    <m/>
    <s v="—"/>
    <s v="Piorou (-17 valores, -89,5%)"/>
  </r>
  <r>
    <n v="107848"/>
    <s v="CAROLINA MÀXIMO CORREIA"/>
    <s v="carolinamaximocorreia@ua.pt"/>
    <n v="8314"/>
    <s v="TP1"/>
    <s v="P5"/>
    <s v="O "/>
    <n v="15"/>
    <n v="2"/>
    <n v="1"/>
    <n v="7"/>
    <n v="3"/>
    <n v="2"/>
    <n v="15"/>
    <n v="2"/>
    <n v="10.666666666666666"/>
    <s v="Aprovado"/>
    <m/>
    <s v="—"/>
    <s v="Piorou (-13 valores, -86,7%)"/>
  </r>
  <r>
    <n v="107318"/>
    <s v="FRANCISCO DO CARMO GUEDES MAGALHÃES TAVARES"/>
    <s v="franciscotavares@ua.pt"/>
    <n v="8314"/>
    <s v="TP2"/>
    <s v="P3"/>
    <s v="O "/>
    <n v="17"/>
    <n v="1"/>
    <n v="1"/>
    <n v="1"/>
    <n v="2"/>
    <n v="4"/>
    <n v="9"/>
    <n v="2"/>
    <n v="9.3333333333333339"/>
    <s v="Reprovado"/>
    <s v="MP"/>
    <n v="4"/>
    <s v="Piorou (-7 valores, -77,8%)"/>
  </r>
  <r>
    <n v="107611"/>
    <s v="JOÃO TAVARES FERREIRA"/>
    <s v="joao.tferreira@ua.pt"/>
    <n v="8314"/>
    <s v="TP2"/>
    <s v="P3"/>
    <s v="O "/>
    <n v="17"/>
    <n v="2"/>
    <n v="1"/>
    <n v="3"/>
    <n v="4"/>
    <n v="8"/>
    <n v="18"/>
    <n v="2"/>
    <n v="12.333333333333334"/>
    <s v="Aprovado"/>
    <m/>
    <s v="—"/>
    <s v="Piorou (-16 valores, -88,9%)"/>
  </r>
  <r>
    <n v="108845"/>
    <s v="SOFIA RAQUEL PINHEIRO MOREIRA"/>
    <s v="sofia.r.p.m@ua.pt"/>
    <n v="8314"/>
    <s v="TP1"/>
    <s v="P5"/>
    <s v="O "/>
    <n v="11"/>
    <n v="2"/>
    <n v="1"/>
    <n v="1"/>
    <n v="5"/>
    <n v="1"/>
    <n v="10"/>
    <n v="2"/>
    <n v="7.666666666666667"/>
    <s v="Reprovado"/>
    <s v="MP"/>
    <n v="9"/>
    <s v="Piorou (-8 valores, -80%)"/>
  </r>
  <r>
    <n v="108098"/>
    <s v="FILIPE MANUEL COUTINHO SAMBENTO"/>
    <s v="filipesambento@ua.pt"/>
    <n v="8314"/>
    <s v="TP1"/>
    <s v="P5"/>
    <s v="O "/>
    <n v="14"/>
    <n v="2"/>
    <n v="2"/>
    <n v="2"/>
    <n v="1"/>
    <n v="9"/>
    <n v="16"/>
    <n v="2"/>
    <n v="10.666666666666666"/>
    <s v="Aprovado"/>
    <m/>
    <s v="—"/>
    <s v="Piorou (-14 valores, -87,5%)"/>
  </r>
  <r>
    <n v="108723"/>
    <s v="CARLOS FILIPE FERNANDES AFONSO"/>
    <s v="carlos.f.f.afonso@ua.pt"/>
    <n v="8313"/>
    <s v="TP2"/>
    <s v="P3"/>
    <s v="O "/>
    <n v="15"/>
    <n v="1"/>
    <n v="1"/>
    <n v="3"/>
    <n v="6"/>
    <n v="3"/>
    <n v="14"/>
    <n v="2"/>
    <n v="10.333333333333334"/>
    <s v="Aprovado"/>
    <m/>
    <s v="—"/>
    <s v="Piorou (-12 valores, -85,7%)"/>
  </r>
  <r>
    <n v="103757"/>
    <s v="BÁRBARA SOFIA GONÇALVES OLIVEIRA"/>
    <s v="barbaraoliveira02@ua.pt"/>
    <n v="8307"/>
    <s v="TP1"/>
    <s v="P5"/>
    <s v="O "/>
    <n v="10"/>
    <n v="3"/>
    <n v="5"/>
    <n v="2"/>
    <n v="1"/>
    <n v="1"/>
    <n v="12"/>
    <n v="2"/>
    <n v="8"/>
    <s v="Reprovado"/>
    <s v="MP"/>
    <n v="8"/>
    <s v="Piorou (-10 valores, -83,3%)"/>
  </r>
  <r>
    <n v="107396"/>
    <s v="RITA BELO MOURA ALBERTO"/>
    <s v="rita.alberto@ua.pt"/>
    <n v="8314"/>
    <s v="TP1"/>
    <s v="P5"/>
    <s v="O "/>
    <n v="8"/>
    <n v="2"/>
    <n v="3"/>
    <n v="2"/>
    <n v="2"/>
    <n v="1"/>
    <n v="10"/>
    <n v="2"/>
    <n v="6.666666666666667"/>
    <s v="Reprovado"/>
    <s v="MP"/>
    <n v="12"/>
    <s v="Piorou (-8 valores, -80%)"/>
  </r>
  <r>
    <n v="108675"/>
    <s v="CLÁUDIA MAGALHÃES FERNANDES"/>
    <s v="claudia.magalhaes@ua.pt"/>
    <n v="8314"/>
    <s v="TP1"/>
    <s v="P5"/>
    <s v="O "/>
    <n v="11"/>
    <n v="3"/>
    <n v="3"/>
    <n v="2"/>
    <n v="1"/>
    <n v="2"/>
    <n v="11"/>
    <n v="2"/>
    <n v="8"/>
    <s v="Reprovado"/>
    <s v="MP"/>
    <n v="8"/>
    <s v="Piorou (-9 valores, -81,8%)"/>
  </r>
  <r>
    <n v="107584"/>
    <s v="BEATRIZ NEVES PARENTE VIEIRA PINTO"/>
    <s v="beatrizparentepinto03@ua.pt"/>
    <n v="8314"/>
    <s v="TP2"/>
    <s v="P3"/>
    <s v="O "/>
    <n v="13"/>
    <n v="2"/>
    <n v="2"/>
    <n v="4"/>
    <n v="1"/>
    <n v="3"/>
    <n v="12"/>
    <n v="2"/>
    <n v="9"/>
    <s v="Reprovado"/>
    <s v="MP"/>
    <n v="5"/>
    <s v="Piorou (-10 valores, -83,3%)"/>
  </r>
  <r>
    <n v="108329"/>
    <s v="ANA CAROLINA DA SILVA CARDOSO"/>
    <s v="carolina.cardoso@ua.pt"/>
    <n v="8314"/>
    <s v="TP2"/>
    <s v="P2"/>
    <s v="O "/>
    <n v="17"/>
    <n v="2"/>
    <n v="1"/>
    <n v="4"/>
    <n v="2"/>
    <n v="1"/>
    <n v="10"/>
    <n v="2"/>
    <n v="9.6666666666666661"/>
    <s v="Reprovado"/>
    <s v="MP"/>
    <n v="3"/>
    <s v="Piorou (-8 valores, -80%)"/>
  </r>
  <r>
    <n v="107874"/>
    <s v="ANA RITA CAMBAO ROQUE VIEIRA"/>
    <s v="rita.crvieira@ua.pt"/>
    <n v="8314"/>
    <s v="TP1"/>
    <s v="P5"/>
    <s v="O "/>
    <n v="18"/>
    <n v="2"/>
    <n v="1"/>
    <n v="2"/>
    <n v="3"/>
    <n v="2"/>
    <n v="10"/>
    <n v="2"/>
    <n v="10"/>
    <s v="Aprovado"/>
    <m/>
    <s v="—"/>
    <s v="Piorou (-8 valores, -80%)"/>
  </r>
  <r>
    <n v="107517"/>
    <s v="ADRIANA DA SILVA OLIVEIRA"/>
    <s v="adrianaoliveira@ua.pt"/>
    <n v="8314"/>
    <s v="TP1"/>
    <s v="P5"/>
    <s v="O "/>
    <n v="12"/>
    <n v="8"/>
    <n v="2"/>
    <n v="1"/>
    <n v="1"/>
    <n v="2"/>
    <n v="14"/>
    <n v="2"/>
    <n v="9.3333333333333339"/>
    <s v="Reprovado"/>
    <s v="MP"/>
    <n v="4"/>
    <s v="Piorou (-12 valores, -85,7%)"/>
  </r>
  <r>
    <n v="108513"/>
    <s v="BEATRIZ MARINHO DA SILVA RIBEIRO COELHO"/>
    <s v="beatrizcoelho@ua.pt"/>
    <n v="8314"/>
    <s v="TP2"/>
    <s v="P3"/>
    <s v="O "/>
    <n v="12"/>
    <n v="1"/>
    <n v="1"/>
    <n v="7"/>
    <n v="1"/>
    <n v="6"/>
    <n v="16"/>
    <n v="2"/>
    <n v="10"/>
    <s v="Aprovado"/>
    <m/>
    <s v="—"/>
    <s v="Piorou (-14 valores, -87,5%)"/>
  </r>
  <r>
    <n v="104342"/>
    <s v="BERNARDO CHEN YE"/>
    <s v="bernardoye@ua.pt"/>
    <n v="8307"/>
    <s v="TP1"/>
    <s v="P5"/>
    <s v="O "/>
    <n v="14"/>
    <n v="2"/>
    <n v="1"/>
    <n v="8"/>
    <n v="2"/>
    <n v="3"/>
    <n v="16"/>
    <n v="2"/>
    <n v="10.666666666666666"/>
    <s v="Aprovado"/>
    <m/>
    <s v="—"/>
    <s v="Piorou (-14 valores, -87,5%)"/>
  </r>
  <r>
    <n v="108752"/>
    <s v="PEDRO MIGUEL GOMES MARTINS"/>
    <s v="pedromgmartins@ua.pt"/>
    <n v="8314"/>
    <s v="TP1"/>
    <s v="P5"/>
    <s v="O "/>
    <n v="12"/>
    <n v="8"/>
    <n v="1"/>
    <n v="2"/>
    <n v="3"/>
    <n v="2"/>
    <n v="16"/>
    <n v="2"/>
    <n v="10"/>
    <s v="Aprovado"/>
    <m/>
    <s v="—"/>
    <s v="Piorou (-14 valores, -87,5%)"/>
  </r>
  <r>
    <n v="103712"/>
    <s v="MARIANA FERREIRA PINTO"/>
    <s v="marianafpinto@ua.pt"/>
    <n v="8264"/>
    <s v="TP1"/>
    <s v="P5"/>
    <s v="O "/>
    <n v="12"/>
    <n v="6"/>
    <n v="3"/>
    <n v="2"/>
    <n v="1"/>
    <n v="2"/>
    <n v="14"/>
    <n v="2"/>
    <n v="9.3333333333333339"/>
    <s v="Reprovado"/>
    <s v="MP"/>
    <n v="4"/>
    <s v="Piorou (-12 valores, -85,7%)"/>
  </r>
  <r>
    <n v="108849"/>
    <s v="MIGUEL CARVALHO GOUVEIA MEXEDO"/>
    <s v="miguelmexedo03@ua.pt"/>
    <n v="8314"/>
    <s v="TP1"/>
    <s v="P5"/>
    <s v="TP"/>
    <n v="11"/>
    <n v="1"/>
    <n v="1"/>
    <n v="2"/>
    <n v="2"/>
    <n v="4"/>
    <n v="10"/>
    <n v="2"/>
    <n v="7.666666666666667"/>
    <s v="Reprovado"/>
    <s v="MP"/>
    <n v="9"/>
    <s v="Piorou (-8 valores, -80%)"/>
  </r>
  <r>
    <n v="108868"/>
    <s v="XAVIER VIEIRA PINTO"/>
    <s v="xavier.pinto@ua.pt"/>
    <n v="8314"/>
    <s v="TP1"/>
    <s v="P6"/>
    <s v="O "/>
    <n v="12"/>
    <n v="2"/>
    <n v="2"/>
    <n v="1"/>
    <n v="11"/>
    <n v="1"/>
    <n v="17"/>
    <n v="2"/>
    <n v="10.333333333333334"/>
    <s v="Aprovado"/>
    <m/>
    <s v="—"/>
    <s v="Piorou (-15 valores, -88,2%)"/>
  </r>
  <r>
    <n v="102380"/>
    <s v="MARIA INÊS SOUSA SÁ"/>
    <s v="maria.sa@ua.pt"/>
    <n v="8220"/>
    <s v="TP1"/>
    <s v="P6"/>
    <s v="O "/>
    <n v="12"/>
    <n v="2"/>
    <n v="2"/>
    <n v="1"/>
    <n v="3"/>
    <n v="1"/>
    <n v="9"/>
    <n v="2"/>
    <n v="7.666666666666667"/>
    <s v="Reprovado"/>
    <s v="MP"/>
    <n v="9"/>
    <s v="Piorou (-7 valores, -77,8%)"/>
  </r>
  <r>
    <n v="107265"/>
    <s v="HUGO ALEXANDRE PINHEIRO MALCATO"/>
    <s v="hapm@ua.pt"/>
    <n v="8314"/>
    <s v="TP1"/>
    <s v="P6"/>
    <s v="O "/>
    <n v="16"/>
    <n v="4"/>
    <n v="4"/>
    <n v="2"/>
    <n v="2"/>
    <n v="7"/>
    <n v="19"/>
    <n v="2"/>
    <n v="12.333333333333334"/>
    <s v="Aprovado"/>
    <m/>
    <s v="—"/>
    <s v="Piorou (-17 valores, -89,5%)"/>
  </r>
  <r>
    <n v="108280"/>
    <s v="FRANCISCO LUIS MOTA MARQUES DA SILVA PICOTO"/>
    <s v="picoto.francisco@ua.pt"/>
    <n v="8314"/>
    <s v="TP2"/>
    <s v="P3"/>
    <s v="O "/>
    <n v="12"/>
    <n v="1"/>
    <n v="1"/>
    <n v="4"/>
    <n v="1"/>
    <n v="3"/>
    <n v="10"/>
    <n v="2"/>
    <n v="8"/>
    <s v="Reprovado"/>
    <s v="MP"/>
    <n v="8"/>
    <s v="Piorou (-8 valores, -80%)"/>
  </r>
  <r>
    <n v="97610"/>
    <s v="PEDRO MIGUEL GASPAR MURTEIRA"/>
    <s v="pedro.murteira@ua.pt"/>
    <n v="8307"/>
    <s v="TP1"/>
    <s v="P6"/>
    <s v="O "/>
    <n v="11"/>
    <n v="3"/>
    <n v="1"/>
    <n v="8"/>
    <n v="2"/>
    <n v="2"/>
    <n v="16"/>
    <n v="2"/>
    <n v="9.6666666666666661"/>
    <s v="Reprovado"/>
    <s v="MP"/>
    <n v="3"/>
    <s v="Piorou (-14 valores, -87,5%)"/>
  </r>
  <r>
    <n v="93316"/>
    <s v="DIOGO ANDRÉ SILVA SIMÕES ALMEIDA"/>
    <s v="dassalmeida@ua.pt"/>
    <n v="8258"/>
    <s v="TP2"/>
    <s v="P3"/>
    <s v="O "/>
    <n v="18"/>
    <n v="2"/>
    <n v="6"/>
    <n v="4"/>
    <n v="4"/>
    <n v="1"/>
    <n v="17"/>
    <n v="2"/>
    <n v="12.333333333333334"/>
    <s v="Aprovado"/>
    <m/>
    <s v="—"/>
    <s v="Piorou (-15 valores, -88,2%)"/>
  </r>
  <r>
    <n v="110331"/>
    <s v="FERNANDO MIGUEL PINTO ESPERANÇA"/>
    <s v="fmiguelesperanca@ua.pt"/>
    <n v="8220"/>
    <s v="TP1"/>
    <s v="P6"/>
    <s v="O "/>
    <n v="15"/>
    <n v="3"/>
    <n v="2"/>
    <n v="5"/>
    <n v="7"/>
    <n v="1"/>
    <n v="18"/>
    <n v="2"/>
    <n v="11.666666666666666"/>
    <s v="Aprovado"/>
    <m/>
    <s v="—"/>
    <s v="Piorou (-16 valores, -88,9%)"/>
  </r>
  <r>
    <n v="104807"/>
    <s v="TIAGO JOSÉ BORGES QUINTAS"/>
    <s v="tquintas@ua.pt"/>
    <n v="9179"/>
    <s v="TP1"/>
    <s v="P6"/>
    <s v="O "/>
    <n v="13"/>
    <n v="4"/>
    <n v="2"/>
    <n v="3"/>
    <n v="2"/>
    <n v="3"/>
    <n v="14"/>
    <n v="2"/>
    <n v="9.6666666666666661"/>
    <s v="Reprovado"/>
    <s v="MP"/>
    <n v="3"/>
    <s v="Piorou (-12 valores, -85,7%)"/>
  </r>
  <r>
    <n v="108679"/>
    <s v="PEDRO MIGUEL GUEDES FERREIRA"/>
    <s v="pedromgf@ua.pt"/>
    <n v="8220"/>
    <s v="TP1"/>
    <s v="P6"/>
    <s v="O "/>
    <n v="13"/>
    <n v="1"/>
    <n v="1"/>
    <n v="4"/>
    <n v="5"/>
    <n v="3"/>
    <n v="14"/>
    <n v="2"/>
    <n v="9.6666666666666661"/>
    <s v="Reprovado"/>
    <s v="MP"/>
    <n v="3"/>
    <s v="Piorou (-12 valores, -85,7%)"/>
  </r>
  <r>
    <n v="103028"/>
    <s v="PEDRO MIGUEL SILVA MENDES"/>
    <s v="pmiguelsilvamendes@ua.pt"/>
    <n v="8240"/>
    <s v="TP1"/>
    <s v="P6"/>
    <s v="O "/>
    <n v="8"/>
    <n v="3"/>
    <n v="2"/>
    <n v="2"/>
    <n v="1"/>
    <n v="4"/>
    <n v="12"/>
    <n v="2"/>
    <n v="7.333333333333333"/>
    <s v="Reprovado"/>
    <s v="MP"/>
    <n v="10"/>
    <s v="Piorou (-10 valores, -83,3%)"/>
  </r>
  <r>
    <n v="105114"/>
    <s v="SANDRA MOREIRA SANTOS"/>
    <s v="san.santos@ua.pt"/>
    <n v="8220"/>
    <s v="TP1"/>
    <s v="P6"/>
    <s v="O "/>
    <n v="9"/>
    <n v="1"/>
    <n v="2"/>
    <n v="1"/>
    <n v="2"/>
    <n v="2"/>
    <n v="8"/>
    <n v="2"/>
    <n v="6.333333333333333"/>
    <s v="Reprovado"/>
    <s v="MP"/>
    <n v="13"/>
    <s v="Piorou (-6 valores, -75%)"/>
  </r>
  <r>
    <n v="108800"/>
    <s v="MARIA CAROLINA CRESPO MODESTO FERREIRA"/>
    <s v="ferreira.carol@ua.pt"/>
    <n v="8305"/>
    <s v="TP1"/>
    <s v="P6"/>
    <s v="O "/>
    <n v="13"/>
    <n v="5"/>
    <n v="5"/>
    <n v="1"/>
    <n v="1"/>
    <n v="7"/>
    <n v="19"/>
    <n v="2"/>
    <n v="11.333333333333334"/>
    <s v="Aprovado"/>
    <m/>
    <s v="—"/>
    <s v="Piorou (-17 valores, -89,5%)"/>
  </r>
  <r>
    <n v="108050"/>
    <s v="MARIANA PINHO RIBEIRO"/>
    <s v="mariana.pribeiro@ua.pt"/>
    <n v="8220"/>
    <s v="TP1"/>
    <s v="P6"/>
    <s v="O "/>
    <n v="17"/>
    <n v="4"/>
    <n v="1"/>
    <n v="1"/>
    <n v="1"/>
    <n v="2"/>
    <n v="9"/>
    <n v="2"/>
    <n v="9.3333333333333339"/>
    <s v="Reprovado"/>
    <s v="MP"/>
    <n v="4"/>
    <s v="Piorou (-7 valores, -77,8%)"/>
  </r>
  <r>
    <n v="105491"/>
    <s v="JOANA RAQUEL HENRIQUES FARIA"/>
    <s v="joanafaria@ua.pt"/>
    <n v="8220"/>
    <s v="TP1"/>
    <s v="P6"/>
    <s v="O "/>
    <n v="11"/>
    <n v="3"/>
    <n v="2"/>
    <n v="1"/>
    <n v="2"/>
    <n v="1"/>
    <n v="9"/>
    <n v="2"/>
    <n v="7.333333333333333"/>
    <s v="Reprovado"/>
    <s v="MP"/>
    <n v="10"/>
    <s v="Piorou (-7 valores, -77,8%)"/>
  </r>
  <r>
    <n v="102976"/>
    <s v="JÉSSICA SOUSA COSTA"/>
    <s v="jessi.costa@ua.pt"/>
    <n v="8220"/>
    <s v="TP1"/>
    <s v="P6"/>
    <s v="O "/>
    <n v="8"/>
    <n v="8"/>
    <n v="2"/>
    <n v="2"/>
    <n v="2"/>
    <n v="1"/>
    <n v="15"/>
    <n v="2"/>
    <n v="8.3333333333333339"/>
    <s v="Reprovado"/>
    <s v="MP"/>
    <n v="7"/>
    <s v="Piorou (-13 valores, -86,7%)"/>
  </r>
  <r>
    <n v="108826"/>
    <s v="JOSÉ CARLOS FONSECA NUNES"/>
    <s v="jcnunes@ua.pt"/>
    <n v="8220"/>
    <s v="TP1"/>
    <s v="P6"/>
    <s v="O "/>
    <n v="13"/>
    <n v="4"/>
    <n v="1"/>
    <n v="1"/>
    <n v="1"/>
    <n v="1"/>
    <n v="8"/>
    <n v="2"/>
    <n v="7.666666666666667"/>
    <s v="Reprovado"/>
    <s v="MP"/>
    <n v="9"/>
    <s v="Piorou (-6 valores, -75%)"/>
  </r>
  <r>
    <n v="108436"/>
    <s v="INÊS DE AZEVEDO FILIPE"/>
    <s v="ines.filipe@ua.pt"/>
    <n v="8220"/>
    <s v="TP1"/>
    <s v="P6"/>
    <s v="O "/>
    <n v="8"/>
    <n v="6"/>
    <n v="1"/>
    <n v="3"/>
    <n v="1"/>
    <n v="1"/>
    <n v="12"/>
    <n v="2"/>
    <n v="7.333333333333333"/>
    <s v="Reprovado"/>
    <s v="MP"/>
    <n v="10"/>
    <s v="Piorou (-10 valores, -83,3%)"/>
  </r>
  <r>
    <n v="107233"/>
    <s v="DIOGO MIGUEL TABORDA BARATA"/>
    <s v="diogo.barata@ua.pt"/>
    <n v="8220"/>
    <s v="TP1"/>
    <s v="P7"/>
    <s v="O "/>
    <n v="9"/>
    <n v="1"/>
    <n v="3"/>
    <n v="1"/>
    <n v="2"/>
    <n v="8"/>
    <n v="15"/>
    <n v="2"/>
    <n v="8.6666666666666661"/>
    <s v="Reprovado"/>
    <s v="MP"/>
    <n v="6"/>
    <s v="Piorou (-13 valores, -86,7%)"/>
  </r>
  <r>
    <n v="103167"/>
    <s v="RAQUEL ROMÃO SOARES PINTO"/>
    <s v="raquelrpinto@ua.pt"/>
    <n v="8220"/>
    <s v="TP1"/>
    <s v="P7"/>
    <s v="O "/>
    <n v="10"/>
    <n v="6"/>
    <n v="1"/>
    <n v="1"/>
    <n v="2"/>
    <n v="1"/>
    <n v="11"/>
    <n v="2"/>
    <n v="7.666666666666667"/>
    <s v="Reprovado"/>
    <s v="MP"/>
    <n v="9"/>
    <s v="Piorou (-9 valores, -81,8%)"/>
  </r>
  <r>
    <n v="108760"/>
    <s v="JÚLIA SOUSA GOULART"/>
    <s v="juliagoulart@ua.pt"/>
    <n v="8220"/>
    <s v="TP2"/>
    <s v="P3"/>
    <s v="O "/>
    <n v="12"/>
    <n v="1"/>
    <n v="1"/>
    <n v="3"/>
    <n v="1"/>
    <n v="1"/>
    <n v="7"/>
    <n v="2"/>
    <n v="7"/>
    <s v="Reprovado"/>
    <s v="MP"/>
    <n v="11"/>
    <s v="Piorou (-5 valores, -71,4%)"/>
  </r>
  <r>
    <n v="103326"/>
    <s v="EMA RENATA DA ROCHA ALVES"/>
    <s v="renataalves@ua.pt"/>
    <n v="8220"/>
    <s v="TP2"/>
    <s v="P3"/>
    <s v="O "/>
    <n v="10"/>
    <n v="3"/>
    <n v="2"/>
    <n v="3"/>
    <n v="8"/>
    <n v="2"/>
    <n v="18"/>
    <n v="2"/>
    <n v="10"/>
    <s v="Aprovado"/>
    <m/>
    <s v="—"/>
    <s v="Piorou (-16 valores, -88,9%)"/>
  </r>
  <r>
    <n v="109152"/>
    <s v="ÍRIS GARCIA FONSECA"/>
    <s v="irisfonseca@ua.pt"/>
    <n v="8220"/>
    <s v="TP1"/>
    <s v="P7"/>
    <s v="O "/>
    <n v="8"/>
    <n v="1"/>
    <n v="2"/>
    <n v="2"/>
    <n v="3"/>
    <n v="1"/>
    <n v="9"/>
    <n v="2"/>
    <n v="6.333333333333333"/>
    <s v="Reprovado"/>
    <s v="MP"/>
    <n v="13"/>
    <s v="Piorou (-7 valores, -77,8%)"/>
  </r>
  <r>
    <n v="107895"/>
    <s v="JOÃO PEDRO DOS SANTOS MORAIS"/>
    <s v="joaomorais9@ua.pt"/>
    <n v="8220"/>
    <s v="TP2"/>
    <s v="P2"/>
    <s v="O "/>
    <n v="11"/>
    <n v="1"/>
    <n v="1"/>
    <n v="2"/>
    <n v="3"/>
    <n v="5"/>
    <n v="12"/>
    <n v="2"/>
    <n v="8.3333333333333339"/>
    <s v="Reprovado"/>
    <s v="MP"/>
    <n v="7"/>
    <s v="Piorou (-10 valores, -83,3%)"/>
  </r>
  <r>
    <n v="107267"/>
    <s v="RODRIGO LEITE GOMES NOGUEIRA"/>
    <s v="rlgn@ua.pt"/>
    <n v="8220"/>
    <s v="TP1"/>
    <s v="P7"/>
    <s v="O "/>
    <n v="10"/>
    <n v="4"/>
    <n v="1"/>
    <n v="4"/>
    <n v="1"/>
    <n v="2"/>
    <n v="12"/>
    <n v="2"/>
    <n v="8"/>
    <s v="Reprovado"/>
    <s v="MP"/>
    <n v="8"/>
    <s v="Piorou (-10 valores, -83,3%)"/>
  </r>
  <r>
    <n v="103309"/>
    <s v="JULIANA ALMEIDA CASTANHEIRA"/>
    <s v="juliana.ac@ua.pt"/>
    <n v="8220"/>
    <s v="TP2"/>
    <s v="P2"/>
    <s v="O "/>
    <n v="18"/>
    <n v="1"/>
    <n v="1"/>
    <n v="2"/>
    <n v="1"/>
    <n v="2"/>
    <n v="7"/>
    <n v="2"/>
    <n v="9"/>
    <s v="Reprovado"/>
    <s v="MP"/>
    <n v="5"/>
    <s v="Piorou (-5 valores, -71,4%)"/>
  </r>
  <r>
    <n v="99440"/>
    <s v="MARTA DUARTE LUZES"/>
    <s v="martaduarteluzes@ua.pt"/>
    <n v="8220"/>
    <s v="TP1"/>
    <s v="P7"/>
    <s v="O "/>
    <n v="8"/>
    <n v="1"/>
    <n v="2"/>
    <n v="1"/>
    <n v="1"/>
    <n v="10"/>
    <n v="15"/>
    <n v="2"/>
    <n v="8.3333333333333339"/>
    <s v="Reprovado"/>
    <s v="MP"/>
    <n v="7"/>
    <s v="Piorou (-13 valores, -86,7%)"/>
  </r>
  <r>
    <n v="93274"/>
    <s v="DIOGO FERNANDO DE OLIVEIRA CARDOSO"/>
    <s v="diogocardoso99@ua.pt"/>
    <n v="8258"/>
    <s v="TP1"/>
    <s v="P7"/>
    <s v="O "/>
    <n v="15"/>
    <n v="2"/>
    <n v="1"/>
    <n v="2"/>
    <n v="1"/>
    <n v="2"/>
    <n v="8"/>
    <n v="2"/>
    <n v="8.3333333333333339"/>
    <s v="Reprovado"/>
    <s v="MP"/>
    <n v="7"/>
    <s v="Piorou (-6 valores, -75%)"/>
  </r>
  <r>
    <n v="102859"/>
    <s v="VASCO GABRIEL MARTINS LOPES"/>
    <s v="vasco.lopes@ua.pt"/>
    <n v="8220"/>
    <s v="TP1"/>
    <s v="P7"/>
    <s v="O "/>
    <n v="13"/>
    <n v="1"/>
    <n v="2"/>
    <n v="2"/>
    <n v="1"/>
    <n v="2"/>
    <n v="8"/>
    <n v="2"/>
    <n v="7.666666666666667"/>
    <s v="Reprovado"/>
    <s v="MP"/>
    <n v="9"/>
    <s v="Piorou (-6 valores, -75%)"/>
  </r>
  <r>
    <n v="104088"/>
    <s v="LÉNIA RAQUEL AVEIRO FERREIRA"/>
    <s v="leniaferreira01@ua.pt"/>
    <n v="8220"/>
    <s v="TP1"/>
    <s v="P7"/>
    <s v="O "/>
    <n v="17"/>
    <n v="2"/>
    <n v="1"/>
    <n v="1"/>
    <n v="1"/>
    <n v="2"/>
    <n v="7"/>
    <n v="2"/>
    <n v="8.6666666666666661"/>
    <s v="Reprovado"/>
    <s v="MP"/>
    <n v="6"/>
    <s v="Piorou (-5 valores, -71,4%)"/>
  </r>
  <r>
    <n v="102633"/>
    <s v="ANA FILIPA DURÃO LIMA"/>
    <s v="anafdlima@ua.pt"/>
    <n v="8220"/>
    <s v="TP2"/>
    <s v="P3"/>
    <s v="O "/>
    <n v="8"/>
    <n v="1"/>
    <n v="1"/>
    <n v="2"/>
    <n v="3"/>
    <n v="3"/>
    <n v="10"/>
    <n v="2"/>
    <n v="6.666666666666667"/>
    <s v="Reprovado"/>
    <s v="MP"/>
    <n v="12"/>
    <s v="Piorou (-8 valores, -80%)"/>
  </r>
  <r>
    <n v="108159"/>
    <s v="ANA BEATRIZ FERREIRA BATISTA"/>
    <s v="ana.b.batista@ua.pt"/>
    <n v="8220"/>
    <s v="TP1"/>
    <s v="P7"/>
    <s v="O "/>
    <n v="18"/>
    <n v="7"/>
    <n v="1"/>
    <n v="2"/>
    <n v="4"/>
    <n v="1"/>
    <n v="15"/>
    <n v="2"/>
    <n v="11.666666666666666"/>
    <s v="Aprovado"/>
    <m/>
    <s v="—"/>
    <s v="Piorou (-13 valores, -86,7%)"/>
  </r>
  <r>
    <n v="108461"/>
    <s v="ALEXANDRE PEREIRA DE ALMEIDA"/>
    <s v="alex.almeida@ua.pt"/>
    <n v="8220"/>
    <s v="TP2"/>
    <s v="P3"/>
    <s v="O "/>
    <n v="10"/>
    <n v="3"/>
    <n v="7"/>
    <n v="1"/>
    <n v="1"/>
    <n v="6"/>
    <n v="18"/>
    <n v="2"/>
    <n v="10"/>
    <s v="Aprovado"/>
    <m/>
    <s v="—"/>
    <s v="Piorou (-16 valores, -88,9%)"/>
  </r>
  <r>
    <n v="107635"/>
    <s v="ANA MARGARIDA ALMEIDA SANTOS"/>
    <s v="anmargaridaa@ua.pt"/>
    <n v="8220"/>
    <s v="TP2"/>
    <s v="P3"/>
    <s v="O "/>
    <n v="18"/>
    <n v="4"/>
    <n v="5"/>
    <n v="1"/>
    <n v="3"/>
    <n v="2"/>
    <n v="15"/>
    <n v="2"/>
    <n v="11.666666666666666"/>
    <s v="Aprovado"/>
    <m/>
    <s v="—"/>
    <s v="Piorou (-13 valores, -86,7%)"/>
  </r>
  <r>
    <n v="102716"/>
    <s v="MARIANA TEIXEIRA FERREIRA"/>
    <s v="marianatferreira@ua.pt"/>
    <n v="8220"/>
    <s v="TP1"/>
    <s v="P7"/>
    <s v="O "/>
    <n v="15"/>
    <n v="1"/>
    <n v="1"/>
    <n v="3"/>
    <n v="2"/>
    <n v="4"/>
    <n v="11"/>
    <n v="2"/>
    <n v="9.3333333333333339"/>
    <s v="Reprovado"/>
    <s v="MP"/>
    <n v="4"/>
    <s v="Piorou (-9 valores, -81,8%)"/>
  </r>
  <r>
    <n v="107347"/>
    <s v="LEONOR SILVA NOGUEIRA"/>
    <s v="leonor.nog@ua.pt"/>
    <n v="8220"/>
    <s v="TP2"/>
    <s v="P3"/>
    <s v="O "/>
    <n v="10"/>
    <n v="1"/>
    <n v="1"/>
    <n v="4"/>
    <n v="3"/>
    <n v="2"/>
    <n v="11"/>
    <n v="2"/>
    <n v="7.666666666666667"/>
    <s v="Reprovado"/>
    <s v="MP"/>
    <n v="9"/>
    <s v="Piorou (-9 valores, -81,8%)"/>
  </r>
  <r>
    <n v="110409"/>
    <s v="DANIELA FILIPA SOARES FORMIGO"/>
    <s v="daniela.fil@ua.pt"/>
    <n v="8220"/>
    <s v="TP2"/>
    <s v="P1a"/>
    <s v="O "/>
    <n v="17"/>
    <n v="1"/>
    <n v="1"/>
    <n v="1"/>
    <n v="1"/>
    <n v="3"/>
    <n v="7"/>
    <n v="2"/>
    <n v="8.6666666666666661"/>
    <s v="Reprovado"/>
    <s v="MP"/>
    <n v="6"/>
    <s v="Piorou (-5 valores, -71,4%)"/>
  </r>
  <r>
    <n v="108540"/>
    <s v="PAULA CRISTINA AZEVEDO JANES DA COSTA"/>
    <s v="paulaccosta@ua.pt"/>
    <n v="8220"/>
    <s v="TP2"/>
    <s v="P1a"/>
    <s v="O "/>
    <n v="10"/>
    <n v="6"/>
    <n v="2"/>
    <n v="2"/>
    <n v="2"/>
    <n v="4"/>
    <n v="16"/>
    <n v="2"/>
    <n v="9.3333333333333339"/>
    <s v="Reprovado"/>
    <s v="MP"/>
    <n v="4"/>
    <s v="Piorou (-14 valores, -87,5%)"/>
  </r>
  <r>
    <n v="103112"/>
    <s v="MARGARIDA HENRIQUES DE OLIVEIRA"/>
    <s v="marga.oliveira@ua.pt"/>
    <n v="8220"/>
    <s v="TP2"/>
    <s v="P2"/>
    <s v="O "/>
    <n v="11"/>
    <n v="3"/>
    <n v="4"/>
    <n v="1"/>
    <n v="1"/>
    <n v="1"/>
    <n v="10"/>
    <n v="2"/>
    <n v="7.666666666666667"/>
    <s v="Reprovado"/>
    <s v="MP"/>
    <n v="9"/>
    <s v="Piorou (-8 valores, -80%)"/>
  </r>
  <r>
    <n v="111224"/>
    <s v="MATTEO MARROCCO"/>
    <s v="matteo.marrocco@ua.pt"/>
    <n v="1000"/>
    <s v="TP2"/>
    <s v="P1a"/>
    <s v="O "/>
    <n v="11"/>
    <n v="1"/>
    <n v="2"/>
    <n v="3"/>
    <n v="2"/>
    <n v="6"/>
    <n v="14"/>
    <n v="2"/>
    <n v="9"/>
    <s v="Reprovado"/>
    <s v="MP"/>
    <n v="5"/>
    <s v="Piorou (-12 valores, -85,7%)"/>
  </r>
  <r>
    <n v="102150"/>
    <s v="ANTONIO CÉSAR CASTRO IGLESIAS"/>
    <s v="antonio.iglesias@ua.pt"/>
    <n v="8220"/>
    <s v="TP1"/>
    <s v="P8"/>
    <s v="O "/>
    <n v="10"/>
    <n v="1"/>
    <n v="2"/>
    <n v="6"/>
    <n v="3"/>
    <n v="7"/>
    <n v="19"/>
    <n v="2"/>
    <n v="10.333333333333334"/>
    <s v="Aprovado"/>
    <m/>
    <s v="—"/>
    <s v="Piorou (-17 valores, -89,5%)"/>
  </r>
  <r>
    <n v="107185"/>
    <s v="JOÃO AFONSO DA SILVA ALMEIDA"/>
    <s v="joao.afonso.salmeida@ua.pt"/>
    <n v="8220"/>
    <s v="TP2"/>
    <s v="P8"/>
    <s v="O "/>
    <n v="11"/>
    <n v="3"/>
    <n v="1"/>
    <n v="4"/>
    <n v="1"/>
    <n v="1"/>
    <n v="10"/>
    <n v="2"/>
    <n v="7.666666666666667"/>
    <s v="Reprovado"/>
    <s v="MP"/>
    <n v="9"/>
    <s v="Piorou (-8 valores, -80%)"/>
  </r>
  <r>
    <n v="104229"/>
    <s v="ANA AIDA GOMES VIEIRA MOREIRA DE SÁ"/>
    <s v="anaaida@ua.pt"/>
    <n v="8220"/>
    <s v="TP2"/>
    <s v="P8"/>
    <s v="O "/>
    <n v="12"/>
    <n v="3"/>
    <n v="1"/>
    <n v="1"/>
    <n v="3"/>
    <n v="1"/>
    <n v="9"/>
    <n v="2"/>
    <n v="7.666666666666667"/>
    <s v="Reprovado"/>
    <s v="MP"/>
    <n v="9"/>
    <s v="Piorou (-7 valores, -77,8%)"/>
  </r>
  <r>
    <n v="103235"/>
    <s v="BERNARDO FONSECA NEVES OLIVEIRA"/>
    <s v="berna.oliveira@ua.pt"/>
    <n v="8220"/>
    <s v="TP2"/>
    <s v="P1a"/>
    <s v="O "/>
    <n v="9"/>
    <n v="2"/>
    <n v="1"/>
    <n v="1"/>
    <n v="2"/>
    <n v="2"/>
    <n v="8"/>
    <n v="2"/>
    <n v="6.333333333333333"/>
    <s v="Reprovado"/>
    <s v="MP"/>
    <n v="13"/>
    <s v="Piorou (-6 valores, -75%)"/>
  </r>
  <r>
    <n v="110719"/>
    <s v="CAROLINA MELO E VALE MONETTO"/>
    <s v="carol.melo@ua.pt"/>
    <n v="8220"/>
    <s v="TP1"/>
    <s v="P7"/>
    <s v="O "/>
    <n v="10"/>
    <n v="1"/>
    <n v="1"/>
    <n v="1"/>
    <n v="3"/>
    <n v="2"/>
    <n v="8"/>
    <n v="2"/>
    <n v="6.666666666666667"/>
    <s v="Reprovado"/>
    <s v="MP"/>
    <n v="12"/>
    <s v="Piorou (-6 valores, -75%)"/>
  </r>
  <r>
    <n v="102669"/>
    <s v="HENRIQUE SARMENTO CALDEIRA"/>
    <s v="h.caldeira@ua.pt"/>
    <n v="8220"/>
    <s v="TP2"/>
    <s v="P1"/>
    <s v="O "/>
    <n v="17"/>
    <n v="3"/>
    <n v="1"/>
    <n v="2"/>
    <n v="1"/>
    <n v="2"/>
    <n v="9"/>
    <n v="2"/>
    <n v="9.3333333333333339"/>
    <s v="Reprovado"/>
    <s v="MP"/>
    <n v="4"/>
    <s v="Piorou (-7 valores, -77,8%)"/>
  </r>
  <r>
    <n v="108113"/>
    <s v="JOANA MARIA FREITAS GASPAR"/>
    <s v="joana.gaspar@ua.pt"/>
    <n v="8220"/>
    <s v="TP1"/>
    <s v="P1a"/>
    <s v="O "/>
    <n v="18"/>
    <n v="2"/>
    <n v="3"/>
    <n v="1"/>
    <n v="1"/>
    <n v="1"/>
    <n v="8"/>
    <n v="2"/>
    <n v="9.3333333333333339"/>
    <s v="Reprovado"/>
    <s v="MP"/>
    <n v="4"/>
    <s v="Piorou (-6 valores, -75%)"/>
  </r>
  <r>
    <n v="108204"/>
    <s v="MARCO ANTÓNIO SILVA RODRIGUES"/>
    <s v="mar.ant@ua.pt"/>
    <n v="8220"/>
    <s v="TP2"/>
    <s v="P1a"/>
    <s v="O "/>
    <n v="9"/>
    <n v="1"/>
    <n v="5"/>
    <n v="2"/>
    <n v="1"/>
    <n v="2"/>
    <n v="11"/>
    <n v="2"/>
    <n v="7.333333333333333"/>
    <s v="Reprovado"/>
    <s v="MP"/>
    <n v="10"/>
    <s v="Piorou (-9 valores, -81,8%)"/>
  </r>
  <r>
    <n v="107356"/>
    <s v="ANA RAQUEL ARRAIOLOS VICENTE"/>
    <s v="raquelarraiolos@ua.pt"/>
    <n v="8220"/>
    <s v="TP2"/>
    <s v="P9"/>
    <s v="O "/>
    <n v="12"/>
    <n v="1"/>
    <n v="1"/>
    <n v="2"/>
    <n v="3"/>
    <n v="2"/>
    <n v="9"/>
    <n v="2"/>
    <n v="7.666666666666667"/>
    <s v="Reprovado"/>
    <s v="MP"/>
    <n v="9"/>
    <s v="Piorou (-7 valores, -77,8%)"/>
  </r>
  <r>
    <n v="102011"/>
    <s v="CAROLINA FERREIRA MARTINS"/>
    <s v="cfmartins@ua.pt"/>
    <n v="8220"/>
    <s v="TP2"/>
    <s v="P2"/>
    <s v="O "/>
    <n v="18"/>
    <n v="1"/>
    <n v="1"/>
    <n v="4"/>
    <n v="3"/>
    <n v="3"/>
    <n v="12"/>
    <n v="2"/>
    <n v="10.666666666666666"/>
    <s v="Aprovado"/>
    <m/>
    <s v="—"/>
    <s v="Piorou (-10 valores, -83,3%)"/>
  </r>
  <r>
    <n v="104183"/>
    <s v="LILIANA RAQUEL PEREIRA DA CUNHA"/>
    <s v="lilianacunha02@ua.pt"/>
    <n v="8220"/>
    <s v="TP2"/>
    <s v="P1"/>
    <s v="O "/>
    <n v="14"/>
    <n v="1"/>
    <n v="2"/>
    <n v="3"/>
    <n v="5"/>
    <n v="1"/>
    <n v="12"/>
    <n v="2"/>
    <n v="9.3333333333333339"/>
    <s v="Reprovado"/>
    <s v="MP"/>
    <n v="4"/>
    <s v="Piorou (-10 valores, -83,3%)"/>
  </r>
  <r>
    <n v="108629"/>
    <s v="CAROLINA AMOEDO DE SOUSA AFONSO"/>
    <s v="carol.afonso@ua.pt"/>
    <n v="8220"/>
    <s v="TP2"/>
    <s v="P9"/>
    <s v="O "/>
    <n v="16"/>
    <n v="2"/>
    <n v="1"/>
    <n v="7"/>
    <n v="5"/>
    <n v="4"/>
    <n v="19"/>
    <n v="2"/>
    <n v="12.333333333333334"/>
    <s v="Aprovado"/>
    <m/>
    <s v="—"/>
    <s v="Piorou (-17 valores, -89,5%)"/>
  </r>
  <r>
    <n v="102743"/>
    <s v="CATARINA SANTOS RODRIGUES"/>
    <s v="catarinasantosrodrigues@ua.pt"/>
    <n v="8220"/>
    <s v="TP1"/>
    <s v="P5"/>
    <s v="O "/>
    <n v="10"/>
    <n v="1"/>
    <n v="4"/>
    <n v="8"/>
    <n v="5"/>
    <n v="1"/>
    <n v="19"/>
    <n v="2"/>
    <n v="10.333333333333334"/>
    <s v="Aprovado"/>
    <m/>
    <s v="—"/>
    <s v="Piorou (-17 valores, -89,5%)"/>
  </r>
  <r>
    <n v="108654"/>
    <s v="MARIA INÊS MARQUES LOPES"/>
    <s v="milopes@ua.pt"/>
    <n v="8220"/>
    <s v="TP2"/>
    <s v="P9"/>
    <s v="TP"/>
    <n v="11"/>
    <n v="1"/>
    <n v="2"/>
    <n v="6"/>
    <n v="2"/>
    <n v="1"/>
    <n v="12"/>
    <n v="2"/>
    <n v="8.3333333333333339"/>
    <s v="Reprovado"/>
    <s v="MP"/>
    <n v="7"/>
    <s v="Piorou (-10 valores, -83,3%)"/>
  </r>
  <r>
    <n v="108869"/>
    <s v="ANA MARGARIDA DA COSTA COELHO"/>
    <s v="ana.marg@ua.pt"/>
    <n v="8220"/>
    <s v="TP1"/>
    <s v="P8"/>
    <s v="O "/>
    <n v="8"/>
    <n v="2"/>
    <n v="1"/>
    <n v="3"/>
    <n v="2"/>
    <n v="1"/>
    <n v="9"/>
    <n v="2"/>
    <n v="6.333333333333333"/>
    <s v="Reprovado"/>
    <s v="MP"/>
    <n v="13"/>
    <s v="Piorou (-7 valores, -77,8%)"/>
  </r>
  <r>
    <n v="103761"/>
    <s v="CARLOS JOSÉ FONSECA E AZEVEDO"/>
    <s v="azevedocarlos@ua.pt"/>
    <n v="8220"/>
    <s v="TP2"/>
    <s v="P1"/>
    <s v="O "/>
    <n v="8"/>
    <n v="1"/>
    <n v="5"/>
    <n v="3"/>
    <n v="1"/>
    <n v="8"/>
    <n v="18"/>
    <n v="2"/>
    <n v="9.3333333333333339"/>
    <s v="Reprovado"/>
    <s v="MP"/>
    <n v="4"/>
    <s v="Piorou (-16 valores, -88,9%)"/>
  </r>
  <r>
    <n v="107208"/>
    <s v="EDGAR JOSE SANTANA SILVA"/>
    <s v="edgarjsilva19@ua.pt"/>
    <n v="8220"/>
    <s v="TP2"/>
    <s v="P1a"/>
    <s v="O "/>
    <n v="14"/>
    <n v="1"/>
    <n v="2"/>
    <n v="5"/>
    <n v="3"/>
    <n v="1"/>
    <n v="12"/>
    <n v="2"/>
    <n v="9.3333333333333339"/>
    <s v="Reprovado"/>
    <s v="MP"/>
    <n v="4"/>
    <s v="Piorou (-10 valores, -83,3%)"/>
  </r>
  <r>
    <n v="103314"/>
    <s v="MADALENA LOPES SANTOS MARTINS NABAIS"/>
    <s v="madalenanabais@ua.pt"/>
    <n v="8220"/>
    <s v="TP2"/>
    <s v="P3"/>
    <s v="O "/>
    <n v="8"/>
    <n v="1"/>
    <n v="3"/>
    <n v="3"/>
    <n v="4"/>
    <n v="3"/>
    <n v="14"/>
    <n v="2"/>
    <n v="8"/>
    <s v="Reprovado"/>
    <s v="MP"/>
    <n v="8"/>
    <s v="Piorou (-12 valores, -85,7%)"/>
  </r>
  <r>
    <n v="109150"/>
    <s v="INES DOS SANTOS MARTINS"/>
    <s v="inessantosmartins@ua.pt"/>
    <n v="8220"/>
    <s v="TP2"/>
    <s v="P1a"/>
    <s v="O "/>
    <n v="14"/>
    <n v="3"/>
    <n v="4"/>
    <n v="4"/>
    <n v="1"/>
    <n v="2"/>
    <n v="14"/>
    <n v="2"/>
    <n v="10"/>
    <s v="Aprovado"/>
    <m/>
    <s v="—"/>
    <s v="Piorou (-12 valores, -85,7%)"/>
  </r>
  <r>
    <n v="105431"/>
    <s v="DIANA ALEXANDRA GUEDES VIEIRA"/>
    <s v="dag2@ua.pt"/>
    <n v="8220"/>
    <s v="TP1"/>
    <s v="P7"/>
    <s v="O "/>
    <n v="11"/>
    <n v="1"/>
    <n v="2"/>
    <n v="2"/>
    <n v="7"/>
    <n v="6"/>
    <n v="18"/>
    <n v="2"/>
    <n v="10.333333333333334"/>
    <s v="Aprovado"/>
    <m/>
    <s v="—"/>
    <s v="Piorou (-16 valores, -88,9%)"/>
  </r>
  <r>
    <n v="103768"/>
    <s v="MARIA MARGARIDA PINTO ROCHA"/>
    <s v="mmrocha@ua.pt"/>
    <n v="8258"/>
    <s v="TP2"/>
    <s v="P1a"/>
    <s v="O "/>
    <n v="18"/>
    <n v="2"/>
    <n v="3"/>
    <n v="4"/>
    <n v="2"/>
    <n v="2"/>
    <n v="13"/>
    <n v="2"/>
    <n v="11"/>
    <s v="Aprovado"/>
    <m/>
    <s v="—"/>
    <s v="Piorou (-11 valores, -84,6%)"/>
  </r>
  <r>
    <n v="98007"/>
    <s v="BEATRIZ PINHEIRO PIRES"/>
    <s v="beatrizppires@ua.pt"/>
    <n v="8220"/>
    <s v="TP2"/>
    <s v="P1a"/>
    <s v="O "/>
    <n v="11"/>
    <n v="1"/>
    <n v="3"/>
    <n v="2"/>
    <n v="1"/>
    <n v="1"/>
    <n v="8"/>
    <n v="2"/>
    <n v="7"/>
    <s v="Reprovado"/>
    <s v="MP"/>
    <n v="11"/>
    <s v="Piorou (-6 valores, -75%)"/>
  </r>
  <r>
    <n v="107594"/>
    <s v="CATARINA ALEXANDRA RAMOS MANJOLINHO COSTA"/>
    <s v="catarina.costa21@ua.pt"/>
    <n v="8220"/>
    <s v="TP2"/>
    <s v="P2"/>
    <s v="O "/>
    <n v="16"/>
    <n v="4"/>
    <n v="2"/>
    <n v="2"/>
    <n v="1"/>
    <n v="4"/>
    <n v="13"/>
    <n v="2"/>
    <n v="10.333333333333334"/>
    <s v="Aprovado"/>
    <m/>
    <s v="—"/>
    <s v="Piorou (-11 valores, -84,6%)"/>
  </r>
  <r>
    <n v="107319"/>
    <s v="MARIANA VIEIRA LIMA"/>
    <s v="mvlima@ua.pt"/>
    <n v="8220"/>
    <s v="TP2"/>
    <s v="P1"/>
    <s v="O "/>
    <n v="16"/>
    <n v="5"/>
    <n v="2"/>
    <n v="3"/>
    <n v="3"/>
    <n v="1"/>
    <n v="14"/>
    <n v="2"/>
    <n v="10.666666666666666"/>
    <s v="Aprovado"/>
    <m/>
    <s v="—"/>
    <s v="Piorou (-12 valores, -85,7%)"/>
  </r>
  <r>
    <n v="99397"/>
    <s v="JOANA GONÇALVES FERREIRA"/>
    <s v="joanagf@ua.pt"/>
    <n v="8220"/>
    <s v="TP2"/>
    <s v="P1"/>
    <s v="O "/>
    <n v="16"/>
    <n v="2"/>
    <n v="3"/>
    <n v="1"/>
    <n v="1"/>
    <n v="2"/>
    <n v="9"/>
    <n v="2"/>
    <n v="9"/>
    <s v="Reprovado"/>
    <s v="MP"/>
    <n v="5"/>
    <s v="Piorou (-7 valores, -77,8%)"/>
  </r>
  <r>
    <n v="105127"/>
    <s v="PEDRO DANIEL VEIGA ALVES CAIO"/>
    <s v="pedro.caio@ua.pt"/>
    <n v="8258"/>
    <s v="TP1"/>
    <s v="P1a"/>
    <s v="O "/>
    <n v="10"/>
    <n v="2"/>
    <n v="3"/>
    <n v="5"/>
    <n v="3"/>
    <n v="6"/>
    <n v="19"/>
    <n v="2"/>
    <n v="10.333333333333334"/>
    <s v="Aprovado"/>
    <m/>
    <s v="—"/>
    <s v="Piorou (-17 valores, -89,5%)"/>
  </r>
  <r>
    <n v="105083"/>
    <s v="MARGARIDA DA COSTA MOREIRA"/>
    <s v="margaridacmoreira18@ua.pt"/>
    <n v="8220"/>
    <s v="TP1"/>
    <s v="P1a"/>
    <s v="O "/>
    <n v="11"/>
    <n v="4"/>
    <n v="4"/>
    <n v="2"/>
    <n v="1"/>
    <n v="7"/>
    <n v="18"/>
    <n v="2"/>
    <n v="10.333333333333334"/>
    <s v="Aprovado"/>
    <m/>
    <s v="—"/>
    <s v="Piorou (-16 valores, -88,9%)"/>
  </r>
  <r>
    <n v="109162"/>
    <s v="GONÇALO ALBINO BORRELHO NETO"/>
    <s v="goncaloalbino@ua.pt"/>
    <n v="8220"/>
    <s v="TP2"/>
    <s v="P1a"/>
    <s v="O "/>
    <n v="10"/>
    <n v="1"/>
    <n v="2"/>
    <n v="3"/>
    <n v="2"/>
    <n v="2"/>
    <n v="10"/>
    <n v="2"/>
    <n v="7.333333333333333"/>
    <s v="Reprovado"/>
    <s v="MP"/>
    <n v="10"/>
    <s v="Piorou (-8 valores, -80%)"/>
  </r>
  <r>
    <n v="108225"/>
    <s v="INÊS ISABEL OLIVEIRA REBELO"/>
    <s v="ines.i.o.r@ua.pt"/>
    <n v="8220"/>
    <s v="TP2"/>
    <s v="P1"/>
    <s v="O "/>
    <n v="8"/>
    <n v="1"/>
    <n v="1"/>
    <n v="2"/>
    <n v="1"/>
    <n v="3"/>
    <n v="8"/>
    <n v="2"/>
    <n v="6"/>
    <s v="Reprovado"/>
    <s v="MP"/>
    <n v="14"/>
    <s v="Piorou (-6 valores, -75%)"/>
  </r>
  <r>
    <n v="105880"/>
    <s v="BERNARDO JOSÉ DE OLIVEIRA NUNES GOMES"/>
    <s v="nunes.gomes@ua.pt"/>
    <n v="1000"/>
    <s v="TP2"/>
    <s v="P2"/>
    <s v="O "/>
    <n v="16"/>
    <n v="6"/>
    <n v="2"/>
    <n v="6"/>
    <n v="1"/>
    <n v="1"/>
    <n v="16"/>
    <n v="2"/>
    <n v="11.333333333333334"/>
    <s v="Aprovado"/>
    <m/>
    <s v="—"/>
    <s v="Piorou (-14 valores, -87,5%)"/>
  </r>
  <r>
    <n v="108078"/>
    <s v="DUARTE TELES MARTINS"/>
    <s v="duarteteles@ua.pt"/>
    <n v="8220"/>
    <s v="TP1"/>
    <s v="P3"/>
    <s v="O "/>
    <n v="16"/>
    <n v="1"/>
    <n v="1"/>
    <n v="4"/>
    <n v="4"/>
    <n v="2"/>
    <n v="12"/>
    <n v="2"/>
    <n v="10"/>
    <s v="Aprovado"/>
    <m/>
    <s v="—"/>
    <s v="Piorou (-10 valores, -83,3%)"/>
  </r>
  <r>
    <n v="108146"/>
    <s v="CAROLINA RODRIGUES RABAÇAL"/>
    <s v="carolinarodriguesrabacal@ua.pt"/>
    <n v="8220"/>
    <s v="TP2"/>
    <s v="P1a"/>
    <s v="O "/>
    <n v="11"/>
    <n v="2"/>
    <n v="3"/>
    <n v="7"/>
    <n v="1"/>
    <n v="3"/>
    <n v="16"/>
    <n v="2"/>
    <n v="9.6666666666666661"/>
    <s v="Reprovado"/>
    <s v="MP"/>
    <n v="3"/>
    <s v="Piorou (-14 valores, -87,5%)"/>
  </r>
  <r>
    <n v="102437"/>
    <s v="JÚLIA MONIZ GANCHAS"/>
    <s v="juliaganchas@ua.pt"/>
    <n v="8220"/>
    <s v="TP2"/>
    <s v="P1a"/>
    <s v="O "/>
    <n v="16"/>
    <n v="2"/>
    <n v="1"/>
    <n v="2"/>
    <n v="9"/>
    <n v="2"/>
    <n v="16"/>
    <n v="2"/>
    <n v="11.333333333333334"/>
    <s v="Aprovado"/>
    <m/>
    <s v="—"/>
    <s v="Piorou (-14 valores, -87,5%)"/>
  </r>
  <r>
    <n v="97876"/>
    <s v="MARIA INÊS GASPAR SAMPAIO"/>
    <s v="maria.sampaio@ua.pt"/>
    <n v="8220"/>
    <s v="TP2"/>
    <s v="P10"/>
    <s v="O "/>
    <n v="18"/>
    <n v="3"/>
    <n v="3"/>
    <n v="1"/>
    <n v="1"/>
    <n v="1"/>
    <n v="9"/>
    <n v="2"/>
    <n v="9.6666666666666661"/>
    <s v="Reprovado"/>
    <s v="MP"/>
    <n v="3"/>
    <s v="Piorou (-7 valores, -77,8%)"/>
  </r>
  <r>
    <n v="103910"/>
    <s v="ALEXANDRA RODRIGUES ABREU DIAS"/>
    <s v="alexandradias@ua.pt"/>
    <n v="8220"/>
    <s v="TP2"/>
    <s v="P5"/>
    <s v="O "/>
    <n v="10"/>
    <n v="1"/>
    <n v="1"/>
    <n v="1"/>
    <n v="1"/>
    <n v="3"/>
    <n v="7"/>
    <n v="2"/>
    <n v="6.333333333333333"/>
    <s v="Reprovado"/>
    <s v="MP"/>
    <n v="13"/>
    <s v="Piorou (-5 valores, -71,4%)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n v="107447"/>
    <s v="MARIA INÊS OLIVEIRA SILVA"/>
    <s v="maria.ines03@ua.pt"/>
    <n v="8314"/>
    <s v="TP2"/>
    <s v="P1a"/>
    <s v="O "/>
    <n v="13"/>
    <n v="2"/>
    <n v="1"/>
    <n v="3"/>
    <n v="2"/>
    <n v="7"/>
    <n v="15"/>
    <n v="2"/>
    <n v="10"/>
    <s v="Aprovado"/>
    <m/>
    <s v="—"/>
    <s v="Piorou (-13 valores, -86,7%)"/>
  </r>
  <r>
    <n v="94716"/>
    <s v="ANA CATARINA FONSECA MARQUES"/>
    <s v="acatarinafmarques@ua.pt"/>
    <n v="8246"/>
    <s v="TP1"/>
    <s v="P8"/>
    <s v="O "/>
    <n v="8"/>
    <n v="3"/>
    <n v="4"/>
    <n v="2"/>
    <n v="1"/>
    <n v="1"/>
    <n v="11"/>
    <n v="2"/>
    <n v="7"/>
    <s v="Reprovado"/>
    <s v="MP"/>
    <n v="11"/>
    <s v="Piorou (-9 valores, -81,8%)"/>
  </r>
  <r>
    <n v="107135"/>
    <s v="MARIANA FIGUEIREDO MARQUES"/>
    <s v="marianamarques04@ua.pt"/>
    <n v="8314"/>
    <s v="TP2"/>
    <s v="P2"/>
    <s v="O "/>
    <n v="11"/>
    <n v="1"/>
    <n v="3"/>
    <n v="4"/>
    <n v="1"/>
    <n v="1"/>
    <n v="10"/>
    <n v="2"/>
    <n v="7.666666666666667"/>
    <s v="Reprovado"/>
    <s v="MP"/>
    <n v="9"/>
    <s v="Piorou (-8 valores, -80%)"/>
  </r>
  <r>
    <n v="107390"/>
    <s v="MARIA JOÃO MATOS FORTE"/>
    <s v="mariaforte@ua.pt"/>
    <n v="8314"/>
    <s v="NO_TP"/>
    <m/>
    <m/>
    <n v="11"/>
    <n v="13"/>
    <n v="2"/>
    <n v="1"/>
    <n v="2"/>
    <n v="1"/>
    <n v="19"/>
    <n v="2"/>
    <n v="10.666666666666666"/>
    <s v="Aprovado"/>
    <m/>
    <s v="—"/>
    <s v="Piorou (-17 valores, -89,5%)"/>
  </r>
  <r>
    <n v="108121"/>
    <s v="DANIELA INÊS FERREIRA TELES"/>
    <s v="dani.teles@ua.pt"/>
    <n v="8314"/>
    <s v="TP1"/>
    <s v="P10"/>
    <s v="O "/>
    <n v="15"/>
    <n v="1"/>
    <n v="2"/>
    <n v="2"/>
    <n v="1"/>
    <n v="1"/>
    <n v="7"/>
    <n v="2"/>
    <n v="8"/>
    <s v="Reprovado"/>
    <s v="MP"/>
    <n v="8"/>
    <s v="Piorou (-5 valores, -71,4%)"/>
  </r>
  <r>
    <n v="107242"/>
    <s v="JOANA MONTEIRO MOREIRA DA SILVA"/>
    <s v="joanammsilva@ua.pt"/>
    <n v="8314"/>
    <s v="TP1"/>
    <s v="P7"/>
    <s v="O "/>
    <n v="17"/>
    <n v="1"/>
    <n v="1"/>
    <n v="1"/>
    <n v="4"/>
    <n v="4"/>
    <n v="11"/>
    <n v="2"/>
    <n v="10"/>
    <s v="Aprovado"/>
    <m/>
    <s v="—"/>
    <s v="Piorou (-9 valores, -81,8%)"/>
  </r>
  <r>
    <n v="108589"/>
    <s v="JOANA GOMES INÁCIO"/>
    <s v="joana.inacio8@ua.pt"/>
    <n v="8314"/>
    <s v="TP2"/>
    <s v="P6"/>
    <s v="O "/>
    <n v="11"/>
    <n v="1"/>
    <n v="2"/>
    <n v="2"/>
    <n v="1"/>
    <n v="4"/>
    <n v="10"/>
    <n v="2"/>
    <n v="7.666666666666667"/>
    <s v="Reprovado"/>
    <s v="MP"/>
    <n v="9"/>
    <s v="Piorou (-8 valores, -80%)"/>
  </r>
  <r>
    <n v="108522"/>
    <s v="JOSÉ PEDRO ALMEIDA ABREU"/>
    <s v="jpaabreu@ua.pt"/>
    <n v="8315"/>
    <s v="TP1"/>
    <s v="P7"/>
    <s v="O "/>
    <n v="13"/>
    <n v="2"/>
    <n v="3"/>
    <n v="3"/>
    <n v="1"/>
    <n v="9"/>
    <n v="18"/>
    <n v="2"/>
    <n v="11"/>
    <s v="Aprovado"/>
    <m/>
    <s v="—"/>
    <s v="Piorou (-16 valores, -88,9%)"/>
  </r>
  <r>
    <n v="107218"/>
    <s v="EDUARDA VILAS BOAS CASTRO"/>
    <s v="eduardacastro@ua.pt"/>
    <n v="8314"/>
    <s v="TP2"/>
    <s v="P5"/>
    <s v="O "/>
    <n v="10"/>
    <n v="2"/>
    <n v="2"/>
    <n v="6"/>
    <n v="7"/>
    <n v="2"/>
    <n v="19"/>
    <n v="2"/>
    <n v="10.333333333333334"/>
    <s v="Aprovado"/>
    <m/>
    <s v="—"/>
    <s v="Piorou (-17 valores, -89,5%)"/>
  </r>
  <r>
    <n v="108189"/>
    <s v="JOSÉ PEDRO GASPAR BARBOSA"/>
    <s v="gasparbarbosa@ua.pt"/>
    <n v="8314"/>
    <s v="TP2"/>
    <s v="P2"/>
    <s v="O "/>
    <n v="12"/>
    <n v="1"/>
    <n v="1"/>
    <n v="2"/>
    <n v="5"/>
    <n v="4"/>
    <n v="13"/>
    <n v="2"/>
    <n v="9"/>
    <s v="Reprovado"/>
    <s v="MP"/>
    <n v="5"/>
    <s v="Piorou (-11 valores, -84,6%)"/>
  </r>
  <r>
    <n v="107372"/>
    <s v="ELIANA PERES BETTENCOURT"/>
    <s v="eliana.bettencourt@ua.pt"/>
    <n v="8314"/>
    <s v="TP2"/>
    <s v="P2"/>
    <s v="O "/>
    <n v="15"/>
    <n v="6"/>
    <n v="4"/>
    <n v="1"/>
    <n v="4"/>
    <n v="1"/>
    <n v="16"/>
    <n v="2"/>
    <n v="11"/>
    <s v="Aprovado"/>
    <m/>
    <s v="—"/>
    <s v="Piorou (-14 valores, -87,5%)"/>
  </r>
  <r>
    <n v="108957"/>
    <s v="DIOGO GABRIEL ANTUNES CANHOTO"/>
    <s v="diogo.gcanhoto@ua.pt"/>
    <n v="8314"/>
    <s v="TP1"/>
    <s v="P8"/>
    <s v="O "/>
    <n v="14"/>
    <n v="1"/>
    <n v="5"/>
    <n v="2"/>
    <n v="5"/>
    <n v="5"/>
    <n v="18"/>
    <n v="2"/>
    <n v="11.333333333333334"/>
    <s v="Aprovado"/>
    <m/>
    <s v="—"/>
    <s v="Piorou (-16 valores, -88,9%)"/>
  </r>
  <r>
    <n v="107440"/>
    <s v="PEDRO GABRIEL DE OLIVEIRA CARRINHO"/>
    <s v="gab.oliveira@ua.pt"/>
    <n v="8314"/>
    <s v="TP2"/>
    <s v="P1"/>
    <s v="O "/>
    <n v="16"/>
    <n v="5"/>
    <n v="1"/>
    <n v="2"/>
    <n v="5"/>
    <n v="2"/>
    <n v="15"/>
    <n v="2"/>
    <n v="11"/>
    <s v="Aprovado"/>
    <m/>
    <s v="—"/>
    <s v="Piorou (-13 valores, -86,7%)"/>
  </r>
  <r>
    <n v="108188"/>
    <s v="JOÃO MANUEL ANDRADE DOS SANTOS MENDONÇA TEIXEIRA"/>
    <s v="joaomat22@ua.pt"/>
    <n v="8314"/>
    <s v="TP2"/>
    <s v="P1"/>
    <s v="O "/>
    <n v="16"/>
    <n v="1"/>
    <n v="2"/>
    <n v="1"/>
    <n v="2"/>
    <n v="1"/>
    <n v="7"/>
    <n v="2"/>
    <n v="8.3333333333333339"/>
    <s v="Reprovado"/>
    <s v="MP"/>
    <n v="7"/>
    <s v="Piorou (-5 valores, -71,4%)"/>
  </r>
  <r>
    <n v="108855"/>
    <s v="MARIANA GONÇALVES MOREIRA"/>
    <s v="marianagmoreira@ua.pt"/>
    <n v="8314"/>
    <s v="TP1"/>
    <s v="P8"/>
    <s v="O "/>
    <n v="18"/>
    <n v="2"/>
    <n v="1"/>
    <n v="7"/>
    <n v="1"/>
    <n v="4"/>
    <n v="15"/>
    <n v="2"/>
    <n v="11.666666666666666"/>
    <s v="Aprovado"/>
    <m/>
    <s v="—"/>
    <s v="Piorou (-13 valores, -86,7%)"/>
  </r>
  <r>
    <n v="108672"/>
    <s v="MARIANA SOFIA GONÇALVES CORDEIRO"/>
    <s v="marianacordeiro05@ua.pt"/>
    <n v="8314"/>
    <s v="TP1"/>
    <s v="P8"/>
    <s v="O "/>
    <n v="9"/>
    <n v="1"/>
    <n v="4"/>
    <n v="1"/>
    <n v="1"/>
    <n v="5"/>
    <n v="12"/>
    <n v="2"/>
    <n v="7.666666666666667"/>
    <s v="Reprovado"/>
    <s v="MP"/>
    <n v="9"/>
    <s v="Piorou (-10 valores, -83,3%)"/>
  </r>
  <r>
    <n v="108138"/>
    <s v="DIOGO MIGUEL RAMOS ÓRFÃO"/>
    <s v="diogo.orfao@ua.pt"/>
    <n v="8314"/>
    <s v="TP2"/>
    <s v="P1"/>
    <s v="O "/>
    <n v="14"/>
    <n v="3"/>
    <n v="1"/>
    <n v="2"/>
    <n v="5"/>
    <n v="5"/>
    <n v="16"/>
    <n v="2"/>
    <n v="10.666666666666666"/>
    <s v="Aprovado"/>
    <m/>
    <s v="—"/>
    <s v="Piorou (-14 valores, -87,5%)"/>
  </r>
  <r>
    <n v="107236"/>
    <s v="BEATRIZ MARTINS AFONSO"/>
    <s v="beatriz.afonso@ua.pt"/>
    <n v="8314"/>
    <s v="TP1"/>
    <s v="P8"/>
    <s v="O "/>
    <n v="15"/>
    <n v="1"/>
    <n v="2"/>
    <n v="1"/>
    <n v="2"/>
    <n v="1"/>
    <n v="7"/>
    <n v="2"/>
    <n v="8"/>
    <s v="Reprovado"/>
    <s v="MP"/>
    <n v="8"/>
    <s v="Piorou (-5 valores, -71,4%)"/>
  </r>
  <r>
    <n v="104204"/>
    <s v="ALEXANDER ANTONIO RODRIGUES SIMÕES"/>
    <s v="alexander.antoni@ua.pt"/>
    <n v="8307"/>
    <s v="TP1"/>
    <s v="P8"/>
    <s v="O "/>
    <n v="15"/>
    <n v="6"/>
    <n v="1"/>
    <n v="1"/>
    <n v="3"/>
    <n v="8"/>
    <n v="19"/>
    <n v="2"/>
    <n v="12"/>
    <s v="Aprovado"/>
    <m/>
    <s v="—"/>
    <s v="Piorou (-17 valores, -89,5%)"/>
  </r>
  <r>
    <n v="107428"/>
    <s v="INÊS MARGARIDA PINHEIRO DE MELO"/>
    <s v="i.melo@ua.pt"/>
    <n v="8314"/>
    <s v="TP1"/>
    <s v="P10"/>
    <s v="O "/>
    <n v="16"/>
    <n v="1"/>
    <n v="2"/>
    <n v="10"/>
    <n v="1"/>
    <n v="2"/>
    <n v="16"/>
    <n v="2"/>
    <n v="11.333333333333334"/>
    <s v="Aprovado"/>
    <m/>
    <s v="—"/>
    <s v="Piorou (-14 valores, -87,5%)"/>
  </r>
  <r>
    <n v="107259"/>
    <s v="DANIEL FILIPE MOTA LEAL"/>
    <s v="daniel.mota.leal@ua.pt"/>
    <n v="8314"/>
    <s v="TP1"/>
    <s v="P10"/>
    <s v="O "/>
    <n v="9"/>
    <n v="2"/>
    <n v="1"/>
    <n v="5"/>
    <n v="3"/>
    <n v="2"/>
    <n v="13"/>
    <n v="2"/>
    <n v="8"/>
    <s v="Reprovado"/>
    <s v="MP"/>
    <n v="8"/>
    <s v="Piorou (-11 valores, -84,6%)"/>
  </r>
  <r>
    <n v="100088"/>
    <s v="MARIA MIGUEL LOPES DE CASTRO"/>
    <s v="maria.castro@ua.pt"/>
    <n v="8307"/>
    <s v="TP2"/>
    <s v="P1"/>
    <s v="O "/>
    <n v="13"/>
    <n v="6"/>
    <n v="3"/>
    <n v="1"/>
    <n v="1"/>
    <n v="1"/>
    <n v="12"/>
    <n v="2"/>
    <n v="9"/>
    <s v="Reprovado"/>
    <s v="MP"/>
    <n v="5"/>
    <s v="Piorou (-10 valores, -83,3%)"/>
  </r>
  <r>
    <n v="108506"/>
    <s v="CAROLINA FERREIRA CATALAO"/>
    <s v="carolinacatalao@ua.pt"/>
    <n v="8314"/>
    <s v="TP2"/>
    <s v="P1"/>
    <s v="O "/>
    <n v="17"/>
    <n v="1"/>
    <n v="2"/>
    <n v="2"/>
    <n v="4"/>
    <n v="1"/>
    <n v="10"/>
    <n v="2"/>
    <n v="9.6666666666666661"/>
    <s v="Reprovado"/>
    <s v="MP"/>
    <n v="3"/>
    <s v="Piorou (-8 valores, -80%)"/>
  </r>
  <r>
    <n v="110376"/>
    <s v="RICARDO OLIVEIRA FIGUEIREDO"/>
    <s v="rfigueiredo@ua.pt"/>
    <n v="8314"/>
    <s v="TP2"/>
    <s v="P1"/>
    <s v="O "/>
    <n v="16"/>
    <n v="1"/>
    <n v="1"/>
    <n v="2"/>
    <n v="2"/>
    <n v="2"/>
    <n v="8"/>
    <n v="2"/>
    <n v="8.6666666666666661"/>
    <s v="Reprovado"/>
    <s v="MP"/>
    <n v="6"/>
    <s v="Piorou (-6 valores, -75%)"/>
  </r>
  <r>
    <n v="109038"/>
    <s v="MARTA BOTAS DUARTE GONÇALVES"/>
    <s v="martabdg@ua.pt"/>
    <n v="8314"/>
    <s v="TP1"/>
    <s v="P10"/>
    <s v="O "/>
    <n v="17"/>
    <n v="5"/>
    <n v="2"/>
    <n v="2"/>
    <n v="2"/>
    <n v="4"/>
    <n v="15"/>
    <n v="2"/>
    <n v="11.333333333333334"/>
    <s v="Aprovado"/>
    <m/>
    <s v="—"/>
    <s v="Piorou (-13 valores, -86,7%)"/>
  </r>
  <r>
    <n v="108727"/>
    <s v="JOÃO PEDRO ROLO FIGUEIREDO"/>
    <s v="joaorolo03@ua.pt"/>
    <n v="8314"/>
    <s v="TP1"/>
    <s v="P10"/>
    <s v="O "/>
    <n v="12"/>
    <n v="1"/>
    <n v="1"/>
    <n v="1"/>
    <n v="1"/>
    <n v="3"/>
    <n v="7"/>
    <n v="2"/>
    <n v="7"/>
    <s v="Reprovado"/>
    <s v="MP"/>
    <n v="11"/>
    <s v="Piorou (-5 valores, -71,4%)"/>
  </r>
  <r>
    <n v="93973"/>
    <s v="CATARINA DUARTE MARTINS"/>
    <s v="cdmartins@ua.pt"/>
    <n v="8307"/>
    <s v="TP1"/>
    <s v="P10"/>
    <s v="O "/>
    <n v="11"/>
    <n v="3"/>
    <n v="2"/>
    <n v="1"/>
    <n v="3"/>
    <n v="2"/>
    <n v="11"/>
    <n v="2"/>
    <n v="8"/>
    <s v="Reprovado"/>
    <s v="MP"/>
    <n v="8"/>
    <s v="Piorou (-9 valores, -81,8%)"/>
  </r>
  <r>
    <n v="108381"/>
    <s v="MARIANA OLIVEIRA LEITE"/>
    <s v="marianaleite26@ua.pt"/>
    <n v="8314"/>
    <s v="TP1"/>
    <s v="P10"/>
    <s v="O "/>
    <n v="8"/>
    <n v="3"/>
    <n v="2"/>
    <n v="2"/>
    <n v="2"/>
    <n v="9"/>
    <n v="18"/>
    <n v="2"/>
    <n v="9.3333333333333339"/>
    <s v="Reprovado"/>
    <s v="MP"/>
    <n v="4"/>
    <s v="Piorou (-16 valores, -88,9%)"/>
  </r>
  <r>
    <n v="108694"/>
    <s v="MIGUEL XAVIER LIRA"/>
    <s v="miguelxlira7@ua.pt"/>
    <n v="8314"/>
    <s v="TP1"/>
    <s v="P10"/>
    <s v="O "/>
    <n v="11"/>
    <n v="1"/>
    <n v="3"/>
    <n v="1"/>
    <n v="11"/>
    <n v="2"/>
    <n v="18"/>
    <n v="2"/>
    <n v="10.333333333333334"/>
    <s v="Aprovado"/>
    <m/>
    <s v="—"/>
    <s v="Piorou (-16 valores, -88,9%)"/>
  </r>
  <r>
    <n v="108421"/>
    <s v="AFONSO ROSAS MARQUES DE OLIVEIRA RELVAS"/>
    <s v="marques.afonso@ua.pt"/>
    <n v="8314"/>
    <s v="TP2"/>
    <s v="P1"/>
    <s v="O "/>
    <n v="13"/>
    <n v="1"/>
    <n v="2"/>
    <n v="1"/>
    <n v="4"/>
    <n v="8"/>
    <n v="16"/>
    <n v="2"/>
    <n v="10.333333333333334"/>
    <s v="Aprovado"/>
    <m/>
    <s v="—"/>
    <s v="Piorou (-14 valores, -87,5%)"/>
  </r>
  <r>
    <n v="108366"/>
    <s v="LEONOR MARQUES LEITE DE CARVALHO CAMPOS"/>
    <s v="leonor.marques@ua.pt"/>
    <n v="8314"/>
    <s v="TP1"/>
    <s v="P10"/>
    <s v="O "/>
    <n v="8"/>
    <n v="2"/>
    <n v="3"/>
    <n v="1"/>
    <n v="1"/>
    <n v="6"/>
    <n v="13"/>
    <n v="2"/>
    <n v="7.666666666666667"/>
    <s v="Reprovado"/>
    <s v="MP"/>
    <n v="9"/>
    <s v="Piorou (-11 valores, -84,6%)"/>
  </r>
  <r>
    <n v="109462"/>
    <s v="JOÃO HENRIQUE DE CASTRO MACHADO E SANTOS"/>
    <s v="joaohenriquesantos@ua.pt"/>
    <n v="8314"/>
    <s v="TP1"/>
    <s v="P10"/>
    <s v="O "/>
    <n v="10"/>
    <n v="5"/>
    <n v="4"/>
    <n v="1"/>
    <n v="1"/>
    <n v="1"/>
    <n v="12"/>
    <n v="2"/>
    <n v="8"/>
    <s v="Reprovado"/>
    <s v="MP"/>
    <n v="8"/>
    <s v="Piorou (-10 valores, -83,3%)"/>
  </r>
  <r>
    <n v="93742"/>
    <s v="PEDRO ALEXANDRE LOPES MENESES DA SILVA"/>
    <s v="pedrosilva5@ua.pt"/>
    <n v="8307"/>
    <s v="TP1"/>
    <s v="P10"/>
    <s v="O "/>
    <n v="11"/>
    <n v="2"/>
    <n v="3"/>
    <n v="5"/>
    <n v="2"/>
    <n v="2"/>
    <n v="14"/>
    <n v="2"/>
    <n v="9"/>
    <s v="Reprovado"/>
    <s v="MP"/>
    <n v="5"/>
    <s v="Piorou (-12 valores, -85,7%)"/>
  </r>
  <r>
    <n v="109000"/>
    <s v="ANDRÉ SIMÃO CAMPINOS RAMOS"/>
    <s v="andresramos@ua.pt"/>
    <n v="8314"/>
    <s v="TP1"/>
    <s v="P10"/>
    <s v="O "/>
    <n v="16"/>
    <n v="1"/>
    <n v="3"/>
    <n v="1"/>
    <n v="4"/>
    <n v="6"/>
    <n v="15"/>
    <n v="2"/>
    <n v="11"/>
    <s v="Aprovado"/>
    <m/>
    <s v="—"/>
    <s v="Piorou (-13 valores, -86,7%)"/>
  </r>
  <r>
    <n v="107769"/>
    <s v="MARIA CASSILDA SANTOS SILVA"/>
    <s v="mcss@ua.pt"/>
    <n v="8314"/>
    <s v="TP1"/>
    <s v="P8"/>
    <s v="O "/>
    <n v="9"/>
    <n v="1"/>
    <n v="1"/>
    <n v="2"/>
    <n v="7"/>
    <n v="4"/>
    <n v="15"/>
    <n v="2"/>
    <n v="8.6666666666666661"/>
    <s v="Reprovado"/>
    <s v="MP"/>
    <n v="6"/>
    <s v="Piorou (-13 valores, -86,7%)"/>
  </r>
  <r>
    <n v="101446"/>
    <s v="LUCAS LOUZADA DE ARAUJO"/>
    <s v="lucaslouzada@ua.pt"/>
    <n v="8307"/>
    <s v="TP2"/>
    <s v="P1"/>
    <s v="O "/>
    <n v="11"/>
    <n v="3"/>
    <n v="9"/>
    <n v="1"/>
    <n v="1"/>
    <n v="2"/>
    <n v="16"/>
    <n v="2"/>
    <n v="9.6666666666666661"/>
    <s v="Reprovado"/>
    <s v="MP"/>
    <n v="3"/>
    <s v="Piorou (-14 valores, -87,5%)"/>
  </r>
  <r>
    <n v="109061"/>
    <s v="ÂNGELA MARIA MARTINS DE ABREU RIBEIRO"/>
    <s v="angelammaribeiro@ua.pt"/>
    <n v="8314"/>
    <s v="TP1"/>
    <s v="P10"/>
    <s v="O "/>
    <n v="11"/>
    <n v="1"/>
    <n v="2"/>
    <n v="1"/>
    <n v="3"/>
    <n v="2"/>
    <n v="9"/>
    <n v="2"/>
    <n v="7.333333333333333"/>
    <s v="Reprovado"/>
    <s v="MP"/>
    <n v="10"/>
    <s v="Piorou (-7 valores, -77,8%)"/>
  </r>
  <r>
    <n v="107487"/>
    <s v="JOAO PEDRO SILVA MOREIRA"/>
    <s v="joaomoreira10@ua.pt"/>
    <n v="8314"/>
    <s v="TP2"/>
    <s v="P2"/>
    <s v="O "/>
    <n v="11"/>
    <n v="1"/>
    <n v="2"/>
    <n v="3"/>
    <n v="4"/>
    <n v="5"/>
    <n v="15"/>
    <n v="2"/>
    <n v="9.3333333333333339"/>
    <s v="Reprovado"/>
    <s v="MP"/>
    <n v="4"/>
    <s v="Piorou (-13 valores, -86,7%)"/>
  </r>
  <r>
    <n v="107436"/>
    <s v="FILIPA MARISA DUARTE MOTA"/>
    <s v="filipamarisamota@ua.pt"/>
    <n v="8314"/>
    <s v="TP2"/>
    <s v="P1"/>
    <s v="O "/>
    <n v="15"/>
    <n v="1"/>
    <n v="1"/>
    <n v="4"/>
    <n v="2"/>
    <n v="5"/>
    <n v="13"/>
    <n v="2"/>
    <n v="10"/>
    <s v="Aprovado"/>
    <m/>
    <s v="—"/>
    <s v="Piorou (-11 valores, -84,6%)"/>
  </r>
  <r>
    <n v="107529"/>
    <s v="MARIA EDUARDA DE MELO REDONDO FERNANDES"/>
    <s v="mar.eduarda@ua.pt"/>
    <n v="8314"/>
    <s v="TP1"/>
    <s v="P10"/>
    <s v="O "/>
    <n v="8"/>
    <n v="3"/>
    <n v="1"/>
    <n v="1"/>
    <n v="3"/>
    <n v="10"/>
    <n v="18"/>
    <n v="2"/>
    <n v="9.3333333333333339"/>
    <s v="Reprovado"/>
    <s v="MP"/>
    <n v="4"/>
    <s v="Piorou (-16 valores, -88,9%)"/>
  </r>
  <r>
    <n v="107879"/>
    <s v="VASCO ALEXANDRE COSTA"/>
    <s v="vasco.costa@ua.pt"/>
    <n v="8314"/>
    <s v="TP1"/>
    <s v="P10"/>
    <s v="O "/>
    <n v="9"/>
    <n v="3"/>
    <n v="1"/>
    <n v="2"/>
    <n v="2"/>
    <n v="5"/>
    <n v="13"/>
    <n v="2"/>
    <n v="8"/>
    <s v="Reprovado"/>
    <s v="MP"/>
    <n v="8"/>
    <s v="Piorou (-11 valores, -84,6%)"/>
  </r>
  <r>
    <n v="107788"/>
    <s v="LUZIA COUTO FERREIRA"/>
    <s v="luzia.ferreira@ua.pt"/>
    <n v="8314"/>
    <s v="TP1"/>
    <s v="P9"/>
    <s v="O "/>
    <n v="17"/>
    <n v="1"/>
    <n v="1"/>
    <n v="3"/>
    <n v="4"/>
    <n v="7"/>
    <n v="16"/>
    <n v="2"/>
    <n v="11.666666666666666"/>
    <s v="Aprovado"/>
    <m/>
    <s v="—"/>
    <s v="Piorou (-14 valores, -87,5%)"/>
  </r>
  <r>
    <n v="108449"/>
    <s v="MARIA LEONOR DA SILVA SALGADO"/>
    <s v="leonorsalgado@ua.pt"/>
    <n v="8314"/>
    <s v="TP1"/>
    <s v="P9"/>
    <s v="O "/>
    <n v="17"/>
    <n v="4"/>
    <n v="1"/>
    <n v="1"/>
    <n v="1"/>
    <n v="1"/>
    <n v="8"/>
    <n v="2"/>
    <n v="9"/>
    <s v="Reprovado"/>
    <s v="MP"/>
    <n v="5"/>
    <s v="Piorou (-6 valores, -75%)"/>
  </r>
  <r>
    <n v="108651"/>
    <s v="LARA BEATRIZ MOURA XAVIER FERNANDES"/>
    <s v="larabfernandes@ua.pt"/>
    <n v="8314"/>
    <s v="TP2"/>
    <s v="P2"/>
    <s v="O "/>
    <n v="8"/>
    <n v="3"/>
    <n v="1"/>
    <n v="1"/>
    <n v="3"/>
    <n v="5"/>
    <n v="13"/>
    <n v="2"/>
    <n v="7.666666666666667"/>
    <s v="Reprovado"/>
    <s v="MP"/>
    <n v="9"/>
    <s v="Piorou (-11 valores, -84,6%)"/>
  </r>
  <r>
    <n v="107560"/>
    <s v="GABRIEL CASTRO DA SILVA"/>
    <s v="gabrielcastrosilva@ua.pt"/>
    <n v="8314"/>
    <s v="TP1"/>
    <s v="P9"/>
    <s v="O "/>
    <n v="18"/>
    <n v="8"/>
    <n v="1"/>
    <n v="2"/>
    <n v="2"/>
    <n v="6"/>
    <n v="19"/>
    <n v="2"/>
    <n v="13"/>
    <s v="Aprovado"/>
    <m/>
    <s v="—"/>
    <s v="Piorou (-17 valores, -89,5%)"/>
  </r>
  <r>
    <n v="107977"/>
    <s v="INÊS RAMOS BEBIANO"/>
    <s v="inesbebiano@ua.pt"/>
    <n v="8314"/>
    <s v="TP1"/>
    <s v="P9"/>
    <s v="O "/>
    <n v="12"/>
    <n v="2"/>
    <n v="6"/>
    <n v="1"/>
    <n v="3"/>
    <n v="3"/>
    <n v="15"/>
    <n v="2"/>
    <n v="9.6666666666666661"/>
    <s v="Reprovado"/>
    <s v="MP"/>
    <n v="3"/>
    <s v="Piorou (-13 valores, -86,7%)"/>
  </r>
  <r>
    <n v="107369"/>
    <s v="VASCO ANTÓNIO CARVALHO ROCHA"/>
    <s v="vasco.rocha@ua.pt"/>
    <n v="8314"/>
    <s v="TP2"/>
    <s v="P2"/>
    <s v="O "/>
    <n v="15"/>
    <n v="6"/>
    <n v="2"/>
    <n v="2"/>
    <n v="4"/>
    <n v="1"/>
    <n v="15"/>
    <n v="2"/>
    <n v="10.666666666666666"/>
    <s v="Aprovado"/>
    <m/>
    <s v="—"/>
    <s v="Piorou (-13 valores, -86,7%)"/>
  </r>
  <r>
    <n v="108171"/>
    <s v="ANA MARIA FERNANDES ASSUNÇÃO"/>
    <s v="ana.assuncao31@ua.pt"/>
    <n v="8314"/>
    <s v="TP1"/>
    <s v="P9"/>
    <s v="O "/>
    <n v="11"/>
    <n v="1"/>
    <n v="1"/>
    <n v="5"/>
    <n v="2"/>
    <n v="1"/>
    <n v="10"/>
    <n v="2"/>
    <n v="7.666666666666667"/>
    <s v="Reprovado"/>
    <s v="MP"/>
    <n v="9"/>
    <s v="Piorou (-8 valores, -80%)"/>
  </r>
  <r>
    <n v="107920"/>
    <s v="ALEXANDRE FERREIRA DO VALE"/>
    <s v="alex.vale@ua.pt"/>
    <n v="8314"/>
    <s v="TP2"/>
    <s v="P1"/>
    <s v="O "/>
    <n v="10"/>
    <n v="2"/>
    <n v="3"/>
    <n v="1"/>
    <n v="1"/>
    <n v="2"/>
    <n v="9"/>
    <n v="2"/>
    <n v="7"/>
    <s v="Reprovado"/>
    <s v="MP"/>
    <n v="11"/>
    <s v="Piorou (-7 valores, -77,8%)"/>
  </r>
  <r>
    <n v="109342"/>
    <s v="MATILDE SANTOS MARQUES"/>
    <s v="matildem03@ua.pt"/>
    <n v="8314"/>
    <s v="TP1"/>
    <s v="P9"/>
    <s v="O "/>
    <n v="15"/>
    <n v="3"/>
    <n v="2"/>
    <n v="1"/>
    <n v="1"/>
    <n v="3"/>
    <n v="10"/>
    <n v="2"/>
    <n v="9"/>
    <s v="Reprovado"/>
    <s v="MP"/>
    <n v="5"/>
    <s v="Piorou (-8 valores, -80%)"/>
  </r>
  <r>
    <n v="108430"/>
    <s v="MARTIM FILIPE TEIXEIRA DE SOUSA"/>
    <s v="martim.sousa@ua.pt"/>
    <n v="8314"/>
    <s v="TP2"/>
    <s v="P2"/>
    <s v="O "/>
    <n v="10"/>
    <n v="3"/>
    <n v="9"/>
    <n v="2"/>
    <n v="2"/>
    <n v="1"/>
    <n v="17"/>
    <n v="2"/>
    <n v="9.6666666666666661"/>
    <s v="Reprovado"/>
    <s v="MP"/>
    <n v="3"/>
    <s v="Piorou (-15 valores, -88,2%)"/>
  </r>
  <r>
    <n v="108816"/>
    <s v="DIOGO VIEIRA NOGUEIRA"/>
    <s v="diogonogueira@ua.pt"/>
    <n v="8314"/>
    <s v="TP1"/>
    <s v="P9"/>
    <s v="O "/>
    <n v="8"/>
    <n v="5"/>
    <n v="4"/>
    <n v="4"/>
    <n v="1"/>
    <n v="5"/>
    <n v="19"/>
    <n v="2"/>
    <n v="9.6666666666666661"/>
    <s v="Reprovado"/>
    <s v="MP"/>
    <n v="3"/>
    <s v="Piorou (-17 valores, -89,5%)"/>
  </r>
  <r>
    <n v="108842"/>
    <s v="EMA SOFIA PEÑAFUERTE DE ANDRADE E CASTRO"/>
    <s v="emasofiacastro@ua.pt"/>
    <n v="8314"/>
    <s v="TP1"/>
    <s v="P9"/>
    <s v="O "/>
    <n v="8"/>
    <n v="1"/>
    <n v="6"/>
    <n v="1"/>
    <n v="4"/>
    <n v="1"/>
    <n v="13"/>
    <n v="2"/>
    <n v="7.666666666666667"/>
    <s v="Reprovado"/>
    <s v="MP"/>
    <n v="9"/>
    <s v="Piorou (-11 valores, -84,6%)"/>
  </r>
  <r>
    <n v="103797"/>
    <s v="ANA CAROLINA MATOS NEIVA"/>
    <s v="carolina.neiva@ua.pt"/>
    <n v="8307"/>
    <s v="TP1"/>
    <s v="P9"/>
    <s v="O "/>
    <n v="12"/>
    <n v="1"/>
    <n v="3"/>
    <n v="3"/>
    <n v="1"/>
    <n v="2"/>
    <n v="10"/>
    <n v="2"/>
    <n v="8"/>
    <s v="Reprovado"/>
    <s v="MP"/>
    <n v="8"/>
    <s v="Piorou (-8 valores, -80%)"/>
  </r>
  <r>
    <n v="107777"/>
    <s v="PEDRO MIGUEL VALE LOUREIRO"/>
    <s v="pmvl@ua.pt"/>
    <n v="8314"/>
    <s v="TP2"/>
    <s v="P1"/>
    <s v="O "/>
    <n v="13"/>
    <n v="3"/>
    <n v="1"/>
    <n v="1"/>
    <n v="4"/>
    <n v="4"/>
    <n v="13"/>
    <n v="2"/>
    <n v="9.3333333333333339"/>
    <s v="Reprovado"/>
    <s v="MP"/>
    <n v="4"/>
    <s v="Piorou (-11 valores, -84,6%)"/>
  </r>
  <r>
    <n v="107717"/>
    <s v="MARGARIDA CARNEIRO RIBEIRO"/>
    <s v="margarida.ribeiro60@ua.pt"/>
    <n v="8314"/>
    <s v="TP1"/>
    <s v="P9"/>
    <s v="O "/>
    <n v="13"/>
    <n v="4"/>
    <n v="1"/>
    <n v="3"/>
    <n v="2"/>
    <n v="2"/>
    <n v="12"/>
    <n v="2"/>
    <n v="9"/>
    <s v="Reprovado"/>
    <s v="MP"/>
    <n v="5"/>
    <s v="Piorou (-10 valores, -83,3%)"/>
  </r>
  <r>
    <n v="103443"/>
    <s v="MARIA INÊS DOS SANTOS TAVARES"/>
    <s v="mariainesst@ua.pt"/>
    <n v="8307"/>
    <s v="TP2"/>
    <s v="P1"/>
    <s v="O "/>
    <n v="14"/>
    <n v="2"/>
    <n v="4"/>
    <n v="2"/>
    <n v="1"/>
    <n v="5"/>
    <n v="14"/>
    <n v="2"/>
    <n v="10"/>
    <s v="Aprovado"/>
    <m/>
    <s v="—"/>
    <s v="Piorou (-12 valores, -85,7%)"/>
  </r>
  <r>
    <n v="108950"/>
    <s v="SOFIA FERREIRA LUÍS PORTUGAL COSTA"/>
    <s v="sofia.fcosta@ua.pt"/>
    <n v="8314"/>
    <s v="TP1"/>
    <s v="P9"/>
    <s v="O "/>
    <n v="16"/>
    <n v="3"/>
    <n v="6"/>
    <n v="1"/>
    <n v="1"/>
    <n v="7"/>
    <n v="18"/>
    <n v="2"/>
    <n v="12"/>
    <s v="Aprovado"/>
    <m/>
    <s v="—"/>
    <s v="Piorou (-16 valores, -88,9%)"/>
  </r>
  <r>
    <n v="108079"/>
    <s v="MARIA JOÃO CURADO MENDES"/>
    <s v="mariajcmendes@ua.pt"/>
    <n v="8314"/>
    <s v="TP1"/>
    <s v="P9"/>
    <s v="O "/>
    <n v="12"/>
    <n v="2"/>
    <n v="1"/>
    <n v="1"/>
    <n v="2"/>
    <n v="1"/>
    <n v="7"/>
    <n v="2"/>
    <n v="7"/>
    <s v="Reprovado"/>
    <s v="MP"/>
    <n v="11"/>
    <s v="Piorou (-5 valores, -71,4%)"/>
  </r>
  <r>
    <n v="109163"/>
    <s v="RAFAELA PEREIRA DE ANDRADE"/>
    <s v="rpa04@ua.pt"/>
    <n v="8314"/>
    <s v="TP1"/>
    <s v="P9"/>
    <s v="O "/>
    <n v="9"/>
    <n v="4"/>
    <n v="2"/>
    <n v="4"/>
    <n v="1"/>
    <n v="7"/>
    <n v="18"/>
    <n v="2"/>
    <n v="9.6666666666666661"/>
    <s v="Reprovado"/>
    <s v="MP"/>
    <n v="3"/>
    <s v="Piorou (-16 valores, -88,9%)"/>
  </r>
  <r>
    <n v="110347"/>
    <s v="GABRIELA BRANDÃO E SOUSA RIBEIRO"/>
    <s v="gabriela.b.ribeiro@ua.pt"/>
    <n v="8314"/>
    <s v="TP1"/>
    <s v="P9"/>
    <s v="O "/>
    <n v="12"/>
    <n v="2"/>
    <n v="3"/>
    <n v="1"/>
    <n v="1"/>
    <n v="8"/>
    <n v="15"/>
    <n v="2"/>
    <n v="9.6666666666666661"/>
    <s v="Reprovado"/>
    <s v="MP"/>
    <n v="3"/>
    <s v="Piorou (-13 valores, -86,7%)"/>
  </r>
  <r>
    <n v="109373"/>
    <s v="ALEXANDRE GUIMARÃES VIEIRA DOS SANTOS"/>
    <s v="alexandre.vieira.santos@ua.pt"/>
    <n v="8314"/>
    <s v="TP1"/>
    <s v="P9"/>
    <s v="O "/>
    <n v="17"/>
    <n v="3"/>
    <n v="1"/>
    <n v="4"/>
    <n v="2"/>
    <n v="1"/>
    <n v="11"/>
    <n v="2"/>
    <n v="10"/>
    <s v="Aprovado"/>
    <m/>
    <s v="—"/>
    <s v="Piorou (-9 valores, -81,8%)"/>
  </r>
  <r>
    <n v="103203"/>
    <s v="RUI MIGUEL CASAIS E SILVA"/>
    <s v="rui.silva5@ua.pt"/>
    <n v="8295"/>
    <s v="TP1"/>
    <s v="P5"/>
    <s v="O "/>
    <n v="18"/>
    <n v="2"/>
    <n v="5"/>
    <n v="2"/>
    <n v="4"/>
    <n v="4"/>
    <n v="17"/>
    <n v="2"/>
    <n v="12.333333333333334"/>
    <s v="Aprovado"/>
    <m/>
    <s v="—"/>
    <s v="Piorou (-15 valores, -88,2%)"/>
  </r>
  <r>
    <n v="107335"/>
    <s v="RODRIGO AFONSO FERNANDES COELHO"/>
    <s v="rodrigoafc@ua.pt"/>
    <n v="8314"/>
    <s v="TP2"/>
    <s v="P3"/>
    <s v="O "/>
    <n v="18"/>
    <n v="4"/>
    <n v="1"/>
    <n v="1"/>
    <n v="6"/>
    <n v="1"/>
    <n v="13"/>
    <n v="2"/>
    <n v="11"/>
    <s v="Aprovado"/>
    <m/>
    <s v="—"/>
    <s v="Piorou (-11 valores, -84,6%)"/>
  </r>
  <r>
    <n v="93345"/>
    <s v="MARIA BEATRIZ DUARTE DA SILVA GARRIDO MOREIRA"/>
    <s v="beatrizdsgmoreira@ua.pt"/>
    <n v="8250"/>
    <s v="TP2"/>
    <s v="P3"/>
    <s v="O "/>
    <n v="16"/>
    <n v="7"/>
    <n v="5"/>
    <n v="3"/>
    <n v="1"/>
    <n v="2"/>
    <n v="18"/>
    <n v="2"/>
    <n v="12"/>
    <s v="Aprovado"/>
    <m/>
    <s v="—"/>
    <s v="Piorou (-16 valores, -88,9%)"/>
  </r>
  <r>
    <n v="103409"/>
    <s v="BENEDITA TEIXEIRA RIBEIRO"/>
    <s v="beneditar@ua.pt"/>
    <n v="8307"/>
    <s v="TP1"/>
    <s v="P5"/>
    <s v="O "/>
    <n v="9"/>
    <n v="2"/>
    <n v="3"/>
    <n v="3"/>
    <n v="1"/>
    <n v="3"/>
    <n v="12"/>
    <n v="2"/>
    <n v="7.666666666666667"/>
    <s v="Reprovado"/>
    <s v="MP"/>
    <n v="9"/>
    <s v="Piorou (-10 valores, -83,3%)"/>
  </r>
  <r>
    <n v="108105"/>
    <s v="LUÍS TADEU TAVEIRA MACHADO"/>
    <s v="luismachado03@ua.pt"/>
    <n v="8314"/>
    <s v="TP1"/>
    <s v="P5"/>
    <s v="O "/>
    <n v="9"/>
    <n v="3"/>
    <n v="3"/>
    <n v="8"/>
    <n v="3"/>
    <n v="2"/>
    <n v="19"/>
    <n v="2"/>
    <n v="10"/>
    <s v="Aprovado"/>
    <m/>
    <s v="—"/>
    <s v="Piorou (-17 valores, -89,5%)"/>
  </r>
  <r>
    <n v="107848"/>
    <s v="CAROLINA MÀXIMO CORREIA"/>
    <s v="carolinamaximocorreia@ua.pt"/>
    <n v="8314"/>
    <s v="TP1"/>
    <s v="P5"/>
    <s v="O "/>
    <n v="15"/>
    <n v="2"/>
    <n v="1"/>
    <n v="7"/>
    <n v="3"/>
    <n v="2"/>
    <n v="15"/>
    <n v="2"/>
    <n v="10.666666666666666"/>
    <s v="Aprovado"/>
    <m/>
    <s v="—"/>
    <s v="Piorou (-13 valores, -86,7%)"/>
  </r>
  <r>
    <n v="107318"/>
    <s v="FRANCISCO DO CARMO GUEDES MAGALHÃES TAVARES"/>
    <s v="franciscotavares@ua.pt"/>
    <n v="8314"/>
    <s v="TP2"/>
    <s v="P3"/>
    <s v="O "/>
    <n v="17"/>
    <n v="1"/>
    <n v="1"/>
    <n v="1"/>
    <n v="2"/>
    <n v="4"/>
    <n v="9"/>
    <n v="2"/>
    <n v="9.3333333333333339"/>
    <s v="Reprovado"/>
    <s v="MP"/>
    <n v="4"/>
    <s v="Piorou (-7 valores, -77,8%)"/>
  </r>
  <r>
    <n v="107611"/>
    <s v="JOÃO TAVARES FERREIRA"/>
    <s v="joao.tferreira@ua.pt"/>
    <n v="8314"/>
    <s v="TP2"/>
    <s v="P3"/>
    <s v="O "/>
    <n v="17"/>
    <n v="2"/>
    <n v="1"/>
    <n v="3"/>
    <n v="4"/>
    <n v="8"/>
    <n v="18"/>
    <n v="2"/>
    <n v="12.333333333333334"/>
    <s v="Aprovado"/>
    <m/>
    <s v="—"/>
    <s v="Piorou (-16 valores, -88,9%)"/>
  </r>
  <r>
    <n v="108845"/>
    <s v="SOFIA RAQUEL PINHEIRO MOREIRA"/>
    <s v="sofia.r.p.m@ua.pt"/>
    <n v="8314"/>
    <s v="TP1"/>
    <s v="P5"/>
    <s v="O "/>
    <n v="11"/>
    <n v="2"/>
    <n v="1"/>
    <n v="1"/>
    <n v="5"/>
    <n v="1"/>
    <n v="10"/>
    <n v="2"/>
    <n v="7.666666666666667"/>
    <s v="Reprovado"/>
    <s v="MP"/>
    <n v="9"/>
    <s v="Piorou (-8 valores, -80%)"/>
  </r>
  <r>
    <n v="108098"/>
    <s v="FILIPE MANUEL COUTINHO SAMBENTO"/>
    <s v="filipesambento@ua.pt"/>
    <n v="8314"/>
    <s v="TP1"/>
    <s v="P5"/>
    <s v="O "/>
    <n v="14"/>
    <n v="2"/>
    <n v="2"/>
    <n v="2"/>
    <n v="1"/>
    <n v="9"/>
    <n v="16"/>
    <n v="2"/>
    <n v="10.666666666666666"/>
    <s v="Aprovado"/>
    <m/>
    <s v="—"/>
    <s v="Piorou (-14 valores, -87,5%)"/>
  </r>
  <r>
    <n v="108723"/>
    <s v="CARLOS FILIPE FERNANDES AFONSO"/>
    <s v="carlos.f.f.afonso@ua.pt"/>
    <n v="8313"/>
    <s v="TP2"/>
    <s v="P3"/>
    <s v="O "/>
    <n v="15"/>
    <n v="1"/>
    <n v="1"/>
    <n v="3"/>
    <n v="6"/>
    <n v="3"/>
    <n v="14"/>
    <n v="2"/>
    <n v="10.333333333333334"/>
    <s v="Aprovado"/>
    <m/>
    <s v="—"/>
    <s v="Piorou (-12 valores, -85,7%)"/>
  </r>
  <r>
    <n v="103757"/>
    <s v="BÁRBARA SOFIA GONÇALVES OLIVEIRA"/>
    <s v="barbaraoliveira02@ua.pt"/>
    <n v="8307"/>
    <s v="TP1"/>
    <s v="P5"/>
    <s v="O "/>
    <n v="10"/>
    <n v="3"/>
    <n v="5"/>
    <n v="2"/>
    <n v="1"/>
    <n v="1"/>
    <n v="12"/>
    <n v="2"/>
    <n v="8"/>
    <s v="Reprovado"/>
    <s v="MP"/>
    <n v="8"/>
    <s v="Piorou (-10 valores, -83,3%)"/>
  </r>
  <r>
    <n v="107396"/>
    <s v="RITA BELO MOURA ALBERTO"/>
    <s v="rita.alberto@ua.pt"/>
    <n v="8314"/>
    <s v="TP1"/>
    <s v="P5"/>
    <s v="O "/>
    <n v="8"/>
    <n v="2"/>
    <n v="3"/>
    <n v="2"/>
    <n v="2"/>
    <n v="1"/>
    <n v="10"/>
    <n v="2"/>
    <n v="6.666666666666667"/>
    <s v="Reprovado"/>
    <s v="MP"/>
    <n v="12"/>
    <s v="Piorou (-8 valores, -80%)"/>
  </r>
  <r>
    <n v="108675"/>
    <s v="CLÁUDIA MAGALHÃES FERNANDES"/>
    <s v="claudia.magalhaes@ua.pt"/>
    <n v="8314"/>
    <s v="TP1"/>
    <s v="P5"/>
    <s v="O "/>
    <n v="11"/>
    <n v="3"/>
    <n v="3"/>
    <n v="2"/>
    <n v="1"/>
    <n v="2"/>
    <n v="11"/>
    <n v="2"/>
    <n v="8"/>
    <s v="Reprovado"/>
    <s v="MP"/>
    <n v="8"/>
    <s v="Piorou (-9 valores, -81,8%)"/>
  </r>
  <r>
    <n v="107584"/>
    <s v="BEATRIZ NEVES PARENTE VIEIRA PINTO"/>
    <s v="beatrizparentepinto03@ua.pt"/>
    <n v="8314"/>
    <s v="TP2"/>
    <s v="P3"/>
    <s v="O "/>
    <n v="13"/>
    <n v="2"/>
    <n v="2"/>
    <n v="4"/>
    <n v="1"/>
    <n v="3"/>
    <n v="12"/>
    <n v="2"/>
    <n v="9"/>
    <s v="Reprovado"/>
    <s v="MP"/>
    <n v="5"/>
    <s v="Piorou (-10 valores, -83,3%)"/>
  </r>
  <r>
    <n v="108329"/>
    <s v="ANA CAROLINA DA SILVA CARDOSO"/>
    <s v="carolina.cardoso@ua.pt"/>
    <n v="8314"/>
    <s v="TP2"/>
    <s v="P2"/>
    <s v="O "/>
    <n v="17"/>
    <n v="2"/>
    <n v="1"/>
    <n v="4"/>
    <n v="2"/>
    <n v="1"/>
    <n v="10"/>
    <n v="2"/>
    <n v="9.6666666666666661"/>
    <s v="Reprovado"/>
    <s v="MP"/>
    <n v="3"/>
    <s v="Piorou (-8 valores, -80%)"/>
  </r>
  <r>
    <n v="107874"/>
    <s v="ANA RITA CAMBAO ROQUE VIEIRA"/>
    <s v="rita.crvieira@ua.pt"/>
    <n v="8314"/>
    <s v="TP1"/>
    <s v="P5"/>
    <s v="O "/>
    <n v="18"/>
    <n v="2"/>
    <n v="1"/>
    <n v="2"/>
    <n v="3"/>
    <n v="2"/>
    <n v="10"/>
    <n v="2"/>
    <n v="10"/>
    <s v="Aprovado"/>
    <m/>
    <s v="—"/>
    <s v="Piorou (-8 valores, -80%)"/>
  </r>
  <r>
    <n v="107517"/>
    <s v="ADRIANA DA SILVA OLIVEIRA"/>
    <s v="adrianaoliveira@ua.pt"/>
    <n v="8314"/>
    <s v="TP1"/>
    <s v="P5"/>
    <s v="O "/>
    <n v="12"/>
    <n v="8"/>
    <n v="2"/>
    <n v="1"/>
    <n v="1"/>
    <n v="2"/>
    <n v="14"/>
    <n v="2"/>
    <n v="9.3333333333333339"/>
    <s v="Reprovado"/>
    <s v="MP"/>
    <n v="4"/>
    <s v="Piorou (-12 valores, -85,7%)"/>
  </r>
  <r>
    <n v="108513"/>
    <s v="BEATRIZ MARINHO DA SILVA RIBEIRO COELHO"/>
    <s v="beatrizcoelho@ua.pt"/>
    <n v="8314"/>
    <s v="TP2"/>
    <s v="P3"/>
    <s v="O "/>
    <n v="12"/>
    <n v="1"/>
    <n v="1"/>
    <n v="7"/>
    <n v="1"/>
    <n v="6"/>
    <n v="16"/>
    <n v="2"/>
    <n v="10"/>
    <s v="Aprovado"/>
    <m/>
    <s v="—"/>
    <s v="Piorou (-14 valores, -87,5%)"/>
  </r>
  <r>
    <n v="104342"/>
    <s v="BERNARDO CHEN YE"/>
    <s v="bernardoye@ua.pt"/>
    <n v="8307"/>
    <s v="TP1"/>
    <s v="P5"/>
    <s v="O "/>
    <n v="14"/>
    <n v="2"/>
    <n v="1"/>
    <n v="8"/>
    <n v="2"/>
    <n v="3"/>
    <n v="16"/>
    <n v="2"/>
    <n v="10.666666666666666"/>
    <s v="Aprovado"/>
    <m/>
    <s v="—"/>
    <s v="Piorou (-14 valores, -87,5%)"/>
  </r>
  <r>
    <n v="108752"/>
    <s v="PEDRO MIGUEL GOMES MARTINS"/>
    <s v="pedromgmartins@ua.pt"/>
    <n v="8314"/>
    <s v="TP1"/>
    <s v="P5"/>
    <s v="O "/>
    <n v="12"/>
    <n v="8"/>
    <n v="1"/>
    <n v="2"/>
    <n v="3"/>
    <n v="2"/>
    <n v="16"/>
    <n v="2"/>
    <n v="10"/>
    <s v="Aprovado"/>
    <m/>
    <s v="—"/>
    <s v="Piorou (-14 valores, -87,5%)"/>
  </r>
  <r>
    <n v="103712"/>
    <s v="MARIANA FERREIRA PINTO"/>
    <s v="marianafpinto@ua.pt"/>
    <n v="8264"/>
    <s v="TP1"/>
    <s v="P5"/>
    <s v="O "/>
    <n v="12"/>
    <n v="6"/>
    <n v="3"/>
    <n v="2"/>
    <n v="1"/>
    <n v="2"/>
    <n v="14"/>
    <n v="2"/>
    <n v="9.3333333333333339"/>
    <s v="Reprovado"/>
    <s v="MP"/>
    <n v="4"/>
    <s v="Piorou (-12 valores, -85,7%)"/>
  </r>
  <r>
    <n v="108849"/>
    <s v="MIGUEL CARVALHO GOUVEIA MEXEDO"/>
    <s v="miguelmexedo03@ua.pt"/>
    <n v="8314"/>
    <s v="TP1"/>
    <s v="P5"/>
    <s v="TP"/>
    <n v="11"/>
    <n v="1"/>
    <n v="1"/>
    <n v="2"/>
    <n v="2"/>
    <n v="4"/>
    <n v="10"/>
    <n v="2"/>
    <n v="7.666666666666667"/>
    <s v="Reprovado"/>
    <s v="MP"/>
    <n v="9"/>
    <s v="Piorou (-8 valores, -80%)"/>
  </r>
  <r>
    <n v="108868"/>
    <s v="XAVIER VIEIRA PINTO"/>
    <s v="xavier.pinto@ua.pt"/>
    <n v="8314"/>
    <s v="TP1"/>
    <s v="P6"/>
    <s v="O "/>
    <n v="12"/>
    <n v="2"/>
    <n v="2"/>
    <n v="1"/>
    <n v="11"/>
    <n v="1"/>
    <n v="17"/>
    <n v="2"/>
    <n v="10.333333333333334"/>
    <s v="Aprovado"/>
    <m/>
    <s v="—"/>
    <s v="Piorou (-15 valores, -88,2%)"/>
  </r>
  <r>
    <n v="102380"/>
    <s v="MARIA INÊS SOUSA SÁ"/>
    <s v="maria.sa@ua.pt"/>
    <n v="8220"/>
    <s v="TP1"/>
    <s v="P6"/>
    <s v="O "/>
    <n v="12"/>
    <n v="2"/>
    <n v="2"/>
    <n v="1"/>
    <n v="3"/>
    <n v="1"/>
    <n v="9"/>
    <n v="2"/>
    <n v="7.666666666666667"/>
    <s v="Reprovado"/>
    <s v="MP"/>
    <n v="9"/>
    <s v="Piorou (-7 valores, -77,8%)"/>
  </r>
  <r>
    <n v="107265"/>
    <s v="HUGO ALEXANDRE PINHEIRO MALCATO"/>
    <s v="hapm@ua.pt"/>
    <n v="8314"/>
    <s v="TP1"/>
    <s v="P6"/>
    <s v="O "/>
    <n v="16"/>
    <n v="4"/>
    <n v="4"/>
    <n v="2"/>
    <n v="2"/>
    <n v="7"/>
    <n v="19"/>
    <n v="2"/>
    <n v="12.333333333333334"/>
    <s v="Aprovado"/>
    <m/>
    <s v="—"/>
    <s v="Piorou (-17 valores, -89,5%)"/>
  </r>
  <r>
    <n v="108280"/>
    <s v="FRANCISCO LUIS MOTA MARQUES DA SILVA PICOTO"/>
    <s v="picoto.francisco@ua.pt"/>
    <n v="8314"/>
    <s v="TP2"/>
    <s v="P3"/>
    <s v="O "/>
    <n v="12"/>
    <n v="1"/>
    <n v="1"/>
    <n v="4"/>
    <n v="1"/>
    <n v="3"/>
    <n v="10"/>
    <n v="2"/>
    <n v="8"/>
    <s v="Reprovado"/>
    <s v="MP"/>
    <n v="8"/>
    <s v="Piorou (-8 valores, -80%)"/>
  </r>
  <r>
    <n v="97610"/>
    <s v="PEDRO MIGUEL GASPAR MURTEIRA"/>
    <s v="pedro.murteira@ua.pt"/>
    <n v="8307"/>
    <s v="TP1"/>
    <s v="P6"/>
    <s v="O "/>
    <n v="11"/>
    <n v="3"/>
    <n v="1"/>
    <n v="8"/>
    <n v="2"/>
    <n v="2"/>
    <n v="16"/>
    <n v="2"/>
    <n v="9.6666666666666661"/>
    <s v="Reprovado"/>
    <s v="MP"/>
    <n v="3"/>
    <s v="Piorou (-14 valores, -87,5%)"/>
  </r>
  <r>
    <n v="93316"/>
    <s v="DIOGO ANDRÉ SILVA SIMÕES ALMEIDA"/>
    <s v="dassalmeida@ua.pt"/>
    <n v="8258"/>
    <s v="TP2"/>
    <s v="P3"/>
    <s v="O "/>
    <n v="18"/>
    <n v="2"/>
    <n v="6"/>
    <n v="4"/>
    <n v="4"/>
    <n v="1"/>
    <n v="17"/>
    <n v="2"/>
    <n v="12.333333333333334"/>
    <s v="Aprovado"/>
    <m/>
    <s v="—"/>
    <s v="Piorou (-15 valores, -88,2%)"/>
  </r>
  <r>
    <n v="110331"/>
    <s v="FERNANDO MIGUEL PINTO ESPERANÇA"/>
    <s v="fmiguelesperanca@ua.pt"/>
    <n v="8220"/>
    <s v="TP1"/>
    <s v="P6"/>
    <s v="O "/>
    <n v="15"/>
    <n v="3"/>
    <n v="2"/>
    <n v="5"/>
    <n v="7"/>
    <n v="1"/>
    <n v="18"/>
    <n v="2"/>
    <n v="11.666666666666666"/>
    <s v="Aprovado"/>
    <m/>
    <s v="—"/>
    <s v="Piorou (-16 valores, -88,9%)"/>
  </r>
  <r>
    <n v="104807"/>
    <s v="TIAGO JOSÉ BORGES QUINTAS"/>
    <s v="tquintas@ua.pt"/>
    <n v="9179"/>
    <s v="TP1"/>
    <s v="P6"/>
    <s v="O "/>
    <n v="13"/>
    <n v="4"/>
    <n v="2"/>
    <n v="3"/>
    <n v="2"/>
    <n v="3"/>
    <n v="14"/>
    <n v="2"/>
    <n v="9.6666666666666661"/>
    <s v="Reprovado"/>
    <s v="MP"/>
    <n v="3"/>
    <s v="Piorou (-12 valores, -85,7%)"/>
  </r>
  <r>
    <n v="108679"/>
    <s v="PEDRO MIGUEL GUEDES FERREIRA"/>
    <s v="pedromgf@ua.pt"/>
    <n v="8220"/>
    <s v="TP1"/>
    <s v="P6"/>
    <s v="O "/>
    <n v="13"/>
    <n v="1"/>
    <n v="1"/>
    <n v="4"/>
    <n v="5"/>
    <n v="3"/>
    <n v="14"/>
    <n v="2"/>
    <n v="9.6666666666666661"/>
    <s v="Reprovado"/>
    <s v="MP"/>
    <n v="3"/>
    <s v="Piorou (-12 valores, -85,7%)"/>
  </r>
  <r>
    <n v="103028"/>
    <s v="PEDRO MIGUEL SILVA MENDES"/>
    <s v="pmiguelsilvamendes@ua.pt"/>
    <n v="8240"/>
    <s v="TP1"/>
    <s v="P6"/>
    <s v="O "/>
    <n v="8"/>
    <n v="3"/>
    <n v="2"/>
    <n v="2"/>
    <n v="1"/>
    <n v="4"/>
    <n v="12"/>
    <n v="2"/>
    <n v="7.333333333333333"/>
    <s v="Reprovado"/>
    <s v="MP"/>
    <n v="10"/>
    <s v="Piorou (-10 valores, -83,3%)"/>
  </r>
  <r>
    <n v="105114"/>
    <s v="SANDRA MOREIRA SANTOS"/>
    <s v="san.santos@ua.pt"/>
    <n v="8220"/>
    <s v="TP1"/>
    <s v="P6"/>
    <s v="O "/>
    <n v="9"/>
    <n v="1"/>
    <n v="2"/>
    <n v="1"/>
    <n v="2"/>
    <n v="2"/>
    <n v="8"/>
    <n v="2"/>
    <n v="6.333333333333333"/>
    <s v="Reprovado"/>
    <s v="MP"/>
    <n v="13"/>
    <s v="Piorou (-6 valores, -75%)"/>
  </r>
  <r>
    <n v="108800"/>
    <s v="MARIA CAROLINA CRESPO MODESTO FERREIRA"/>
    <s v="ferreira.carol@ua.pt"/>
    <n v="8305"/>
    <s v="TP1"/>
    <s v="P6"/>
    <s v="O "/>
    <n v="13"/>
    <n v="5"/>
    <n v="5"/>
    <n v="1"/>
    <n v="1"/>
    <n v="7"/>
    <n v="19"/>
    <n v="2"/>
    <n v="11.333333333333334"/>
    <s v="Aprovado"/>
    <m/>
    <s v="—"/>
    <s v="Piorou (-17 valores, -89,5%)"/>
  </r>
  <r>
    <n v="108050"/>
    <s v="MARIANA PINHO RIBEIRO"/>
    <s v="mariana.pribeiro@ua.pt"/>
    <n v="8220"/>
    <s v="TP1"/>
    <s v="P6"/>
    <s v="O "/>
    <n v="17"/>
    <n v="4"/>
    <n v="1"/>
    <n v="1"/>
    <n v="1"/>
    <n v="2"/>
    <n v="9"/>
    <n v="2"/>
    <n v="9.3333333333333339"/>
    <s v="Reprovado"/>
    <s v="MP"/>
    <n v="4"/>
    <s v="Piorou (-7 valores, -77,8%)"/>
  </r>
  <r>
    <n v="105491"/>
    <s v="JOANA RAQUEL HENRIQUES FARIA"/>
    <s v="joanafaria@ua.pt"/>
    <n v="8220"/>
    <s v="TP1"/>
    <s v="P6"/>
    <s v="O "/>
    <n v="11"/>
    <n v="3"/>
    <n v="2"/>
    <n v="1"/>
    <n v="2"/>
    <n v="1"/>
    <n v="9"/>
    <n v="2"/>
    <n v="7.333333333333333"/>
    <s v="Reprovado"/>
    <s v="MP"/>
    <n v="10"/>
    <s v="Piorou (-7 valores, -77,8%)"/>
  </r>
  <r>
    <n v="102976"/>
    <s v="JÉSSICA SOUSA COSTA"/>
    <s v="jessi.costa@ua.pt"/>
    <n v="8220"/>
    <s v="TP1"/>
    <s v="P6"/>
    <s v="O "/>
    <n v="8"/>
    <n v="8"/>
    <n v="2"/>
    <n v="2"/>
    <n v="2"/>
    <n v="1"/>
    <n v="15"/>
    <n v="2"/>
    <n v="8.3333333333333339"/>
    <s v="Reprovado"/>
    <s v="MP"/>
    <n v="7"/>
    <s v="Piorou (-13 valores, -86,7%)"/>
  </r>
  <r>
    <n v="108826"/>
    <s v="JOSÉ CARLOS FONSECA NUNES"/>
    <s v="jcnunes@ua.pt"/>
    <n v="8220"/>
    <s v="TP1"/>
    <s v="P6"/>
    <s v="O "/>
    <n v="13"/>
    <n v="4"/>
    <n v="1"/>
    <n v="1"/>
    <n v="1"/>
    <n v="1"/>
    <n v="8"/>
    <n v="2"/>
    <n v="7.666666666666667"/>
    <s v="Reprovado"/>
    <s v="MP"/>
    <n v="9"/>
    <s v="Piorou (-6 valores, -75%)"/>
  </r>
  <r>
    <n v="108436"/>
    <s v="INÊS DE AZEVEDO FILIPE"/>
    <s v="ines.filipe@ua.pt"/>
    <n v="8220"/>
    <s v="TP1"/>
    <s v="P6"/>
    <s v="O "/>
    <n v="8"/>
    <n v="6"/>
    <n v="1"/>
    <n v="3"/>
    <n v="1"/>
    <n v="1"/>
    <n v="12"/>
    <n v="2"/>
    <n v="7.333333333333333"/>
    <s v="Reprovado"/>
    <s v="MP"/>
    <n v="10"/>
    <s v="Piorou (-10 valores, -83,3%)"/>
  </r>
  <r>
    <n v="107233"/>
    <s v="DIOGO MIGUEL TABORDA BARATA"/>
    <s v="diogo.barata@ua.pt"/>
    <n v="8220"/>
    <s v="TP1"/>
    <s v="P7"/>
    <s v="O "/>
    <n v="9"/>
    <n v="1"/>
    <n v="3"/>
    <n v="1"/>
    <n v="2"/>
    <n v="8"/>
    <n v="15"/>
    <n v="2"/>
    <n v="8.6666666666666661"/>
    <s v="Reprovado"/>
    <s v="MP"/>
    <n v="6"/>
    <s v="Piorou (-13 valores, -86,7%)"/>
  </r>
  <r>
    <n v="103167"/>
    <s v="RAQUEL ROMÃO SOARES PINTO"/>
    <s v="raquelrpinto@ua.pt"/>
    <n v="8220"/>
    <s v="TP1"/>
    <s v="P7"/>
    <s v="O "/>
    <n v="10"/>
    <n v="6"/>
    <n v="1"/>
    <n v="1"/>
    <n v="2"/>
    <n v="1"/>
    <n v="11"/>
    <n v="2"/>
    <n v="7.666666666666667"/>
    <s v="Reprovado"/>
    <s v="MP"/>
    <n v="9"/>
    <s v="Piorou (-9 valores, -81,8%)"/>
  </r>
  <r>
    <n v="108760"/>
    <s v="JÚLIA SOUSA GOULART"/>
    <s v="juliagoulart@ua.pt"/>
    <n v="8220"/>
    <s v="TP2"/>
    <s v="P3"/>
    <s v="O "/>
    <n v="12"/>
    <n v="1"/>
    <n v="1"/>
    <n v="3"/>
    <n v="1"/>
    <n v="1"/>
    <n v="7"/>
    <n v="2"/>
    <n v="7"/>
    <s v="Reprovado"/>
    <s v="MP"/>
    <n v="11"/>
    <s v="Piorou (-5 valores, -71,4%)"/>
  </r>
  <r>
    <n v="103326"/>
    <s v="EMA RENATA DA ROCHA ALVES"/>
    <s v="renataalves@ua.pt"/>
    <n v="8220"/>
    <s v="TP2"/>
    <s v="P3"/>
    <s v="O "/>
    <n v="10"/>
    <n v="3"/>
    <n v="2"/>
    <n v="3"/>
    <n v="8"/>
    <n v="2"/>
    <n v="18"/>
    <n v="2"/>
    <n v="10"/>
    <s v="Aprovado"/>
    <m/>
    <s v="—"/>
    <s v="Piorou (-16 valores, -88,9%)"/>
  </r>
  <r>
    <n v="109152"/>
    <s v="ÍRIS GARCIA FONSECA"/>
    <s v="irisfonseca@ua.pt"/>
    <n v="8220"/>
    <s v="TP1"/>
    <s v="P7"/>
    <s v="O "/>
    <n v="8"/>
    <n v="1"/>
    <n v="2"/>
    <n v="2"/>
    <n v="3"/>
    <n v="1"/>
    <n v="9"/>
    <n v="2"/>
    <n v="6.333333333333333"/>
    <s v="Reprovado"/>
    <s v="MP"/>
    <n v="13"/>
    <s v="Piorou (-7 valores, -77,8%)"/>
  </r>
  <r>
    <n v="107895"/>
    <s v="JOÃO PEDRO DOS SANTOS MORAIS"/>
    <s v="joaomorais9@ua.pt"/>
    <n v="8220"/>
    <s v="TP2"/>
    <s v="P2"/>
    <s v="O "/>
    <n v="11"/>
    <n v="1"/>
    <n v="1"/>
    <n v="2"/>
    <n v="3"/>
    <n v="5"/>
    <n v="12"/>
    <n v="2"/>
    <n v="8.3333333333333339"/>
    <s v="Reprovado"/>
    <s v="MP"/>
    <n v="7"/>
    <s v="Piorou (-10 valores, -83,3%)"/>
  </r>
  <r>
    <n v="107267"/>
    <s v="RODRIGO LEITE GOMES NOGUEIRA"/>
    <s v="rlgn@ua.pt"/>
    <n v="8220"/>
    <s v="TP1"/>
    <s v="P7"/>
    <s v="O "/>
    <n v="10"/>
    <n v="4"/>
    <n v="1"/>
    <n v="4"/>
    <n v="1"/>
    <n v="2"/>
    <n v="12"/>
    <n v="2"/>
    <n v="8"/>
    <s v="Reprovado"/>
    <s v="MP"/>
    <n v="8"/>
    <s v="Piorou (-10 valores, -83,3%)"/>
  </r>
  <r>
    <n v="103309"/>
    <s v="JULIANA ALMEIDA CASTANHEIRA"/>
    <s v="juliana.ac@ua.pt"/>
    <n v="8220"/>
    <s v="TP2"/>
    <s v="P2"/>
    <s v="O "/>
    <n v="18"/>
    <n v="1"/>
    <n v="1"/>
    <n v="2"/>
    <n v="1"/>
    <n v="2"/>
    <n v="7"/>
    <n v="2"/>
    <n v="9"/>
    <s v="Reprovado"/>
    <s v="MP"/>
    <n v="5"/>
    <s v="Piorou (-5 valores, -71,4%)"/>
  </r>
  <r>
    <n v="99440"/>
    <s v="MARTA DUARTE LUZES"/>
    <s v="martaduarteluzes@ua.pt"/>
    <n v="8220"/>
    <s v="TP1"/>
    <s v="P7"/>
    <s v="O "/>
    <n v="8"/>
    <n v="1"/>
    <n v="2"/>
    <n v="1"/>
    <n v="1"/>
    <n v="10"/>
    <n v="15"/>
    <n v="2"/>
    <n v="8.3333333333333339"/>
    <s v="Reprovado"/>
    <s v="MP"/>
    <n v="7"/>
    <s v="Piorou (-13 valores, -86,7%)"/>
  </r>
  <r>
    <n v="93274"/>
    <s v="DIOGO FERNANDO DE OLIVEIRA CARDOSO"/>
    <s v="diogocardoso99@ua.pt"/>
    <n v="8258"/>
    <s v="TP1"/>
    <s v="P7"/>
    <s v="O "/>
    <n v="15"/>
    <n v="2"/>
    <n v="1"/>
    <n v="2"/>
    <n v="1"/>
    <n v="2"/>
    <n v="8"/>
    <n v="2"/>
    <n v="8.3333333333333339"/>
    <s v="Reprovado"/>
    <s v="MP"/>
    <n v="7"/>
    <s v="Piorou (-6 valores, -75%)"/>
  </r>
  <r>
    <n v="102859"/>
    <s v="VASCO GABRIEL MARTINS LOPES"/>
    <s v="vasco.lopes@ua.pt"/>
    <n v="8220"/>
    <s v="TP1"/>
    <s v="P7"/>
    <s v="O "/>
    <n v="13"/>
    <n v="1"/>
    <n v="2"/>
    <n v="2"/>
    <n v="1"/>
    <n v="2"/>
    <n v="8"/>
    <n v="2"/>
    <n v="7.666666666666667"/>
    <s v="Reprovado"/>
    <s v="MP"/>
    <n v="9"/>
    <s v="Piorou (-6 valores, -75%)"/>
  </r>
  <r>
    <n v="104088"/>
    <s v="LÉNIA RAQUEL AVEIRO FERREIRA"/>
    <s v="leniaferreira01@ua.pt"/>
    <n v="8220"/>
    <s v="TP1"/>
    <s v="P7"/>
    <s v="O "/>
    <n v="17"/>
    <n v="2"/>
    <n v="1"/>
    <n v="1"/>
    <n v="1"/>
    <n v="2"/>
    <n v="7"/>
    <n v="2"/>
    <n v="8.6666666666666661"/>
    <s v="Reprovado"/>
    <s v="MP"/>
    <n v="6"/>
    <s v="Piorou (-5 valores, -71,4%)"/>
  </r>
  <r>
    <n v="102633"/>
    <s v="ANA FILIPA DURÃO LIMA"/>
    <s v="anafdlima@ua.pt"/>
    <n v="8220"/>
    <s v="TP2"/>
    <s v="P3"/>
    <s v="O "/>
    <n v="8"/>
    <n v="1"/>
    <n v="1"/>
    <n v="2"/>
    <n v="3"/>
    <n v="3"/>
    <n v="10"/>
    <n v="2"/>
    <n v="6.666666666666667"/>
    <s v="Reprovado"/>
    <s v="MP"/>
    <n v="12"/>
    <s v="Piorou (-8 valores, -80%)"/>
  </r>
  <r>
    <n v="108159"/>
    <s v="ANA BEATRIZ FERREIRA BATISTA"/>
    <s v="ana.b.batista@ua.pt"/>
    <n v="8220"/>
    <s v="TP1"/>
    <s v="P7"/>
    <s v="O "/>
    <n v="18"/>
    <n v="7"/>
    <n v="1"/>
    <n v="2"/>
    <n v="4"/>
    <n v="1"/>
    <n v="15"/>
    <n v="2"/>
    <n v="11.666666666666666"/>
    <s v="Aprovado"/>
    <m/>
    <s v="—"/>
    <s v="Piorou (-13 valores, -86,7%)"/>
  </r>
  <r>
    <n v="108461"/>
    <s v="ALEXANDRE PEREIRA DE ALMEIDA"/>
    <s v="alex.almeida@ua.pt"/>
    <n v="8220"/>
    <s v="TP2"/>
    <s v="P3"/>
    <s v="O "/>
    <n v="10"/>
    <n v="3"/>
    <n v="7"/>
    <n v="1"/>
    <n v="1"/>
    <n v="6"/>
    <n v="18"/>
    <n v="2"/>
    <n v="10"/>
    <s v="Aprovado"/>
    <m/>
    <s v="—"/>
    <s v="Piorou (-16 valores, -88,9%)"/>
  </r>
  <r>
    <n v="107635"/>
    <s v="ANA MARGARIDA ALMEIDA SANTOS"/>
    <s v="anmargaridaa@ua.pt"/>
    <n v="8220"/>
    <s v="TP2"/>
    <s v="P3"/>
    <s v="O "/>
    <n v="18"/>
    <n v="4"/>
    <n v="5"/>
    <n v="1"/>
    <n v="3"/>
    <n v="2"/>
    <n v="15"/>
    <n v="2"/>
    <n v="11.666666666666666"/>
    <s v="Aprovado"/>
    <m/>
    <s v="—"/>
    <s v="Piorou (-13 valores, -86,7%)"/>
  </r>
  <r>
    <n v="102716"/>
    <s v="MARIANA TEIXEIRA FERREIRA"/>
    <s v="marianatferreira@ua.pt"/>
    <n v="8220"/>
    <s v="TP1"/>
    <s v="P7"/>
    <s v="O "/>
    <n v="15"/>
    <n v="1"/>
    <n v="1"/>
    <n v="3"/>
    <n v="2"/>
    <n v="4"/>
    <n v="11"/>
    <n v="2"/>
    <n v="9.3333333333333339"/>
    <s v="Reprovado"/>
    <s v="MP"/>
    <n v="4"/>
    <s v="Piorou (-9 valores, -81,8%)"/>
  </r>
  <r>
    <n v="107347"/>
    <s v="LEONOR SILVA NOGUEIRA"/>
    <s v="leonor.nog@ua.pt"/>
    <n v="8220"/>
    <s v="TP2"/>
    <s v="P3"/>
    <s v="O "/>
    <n v="10"/>
    <n v="1"/>
    <n v="1"/>
    <n v="4"/>
    <n v="3"/>
    <n v="2"/>
    <n v="11"/>
    <n v="2"/>
    <n v="7.666666666666667"/>
    <s v="Reprovado"/>
    <s v="MP"/>
    <n v="9"/>
    <s v="Piorou (-9 valores, -81,8%)"/>
  </r>
  <r>
    <n v="110409"/>
    <s v="DANIELA FILIPA SOARES FORMIGO"/>
    <s v="daniela.fil@ua.pt"/>
    <n v="8220"/>
    <s v="TP2"/>
    <s v="P1a"/>
    <s v="O "/>
    <n v="17"/>
    <n v="1"/>
    <n v="1"/>
    <n v="1"/>
    <n v="1"/>
    <n v="3"/>
    <n v="7"/>
    <n v="2"/>
    <n v="8.6666666666666661"/>
    <s v="Reprovado"/>
    <s v="MP"/>
    <n v="6"/>
    <s v="Piorou (-5 valores, -71,4%)"/>
  </r>
  <r>
    <n v="108540"/>
    <s v="PAULA CRISTINA AZEVEDO JANES DA COSTA"/>
    <s v="paulaccosta@ua.pt"/>
    <n v="8220"/>
    <s v="TP2"/>
    <s v="P1a"/>
    <s v="O "/>
    <n v="10"/>
    <n v="6"/>
    <n v="2"/>
    <n v="2"/>
    <n v="2"/>
    <n v="4"/>
    <n v="16"/>
    <n v="2"/>
    <n v="9.3333333333333339"/>
    <s v="Reprovado"/>
    <s v="MP"/>
    <n v="4"/>
    <s v="Piorou (-14 valores, -87,5%)"/>
  </r>
  <r>
    <n v="103112"/>
    <s v="MARGARIDA HENRIQUES DE OLIVEIRA"/>
    <s v="marga.oliveira@ua.pt"/>
    <n v="8220"/>
    <s v="TP2"/>
    <s v="P2"/>
    <s v="O "/>
    <n v="11"/>
    <n v="3"/>
    <n v="4"/>
    <n v="1"/>
    <n v="1"/>
    <n v="1"/>
    <n v="10"/>
    <n v="2"/>
    <n v="7.666666666666667"/>
    <s v="Reprovado"/>
    <s v="MP"/>
    <n v="9"/>
    <s v="Piorou (-8 valores, -80%)"/>
  </r>
  <r>
    <n v="111224"/>
    <s v="MATTEO MARROCCO"/>
    <s v="matteo.marrocco@ua.pt"/>
    <n v="1000"/>
    <s v="TP2"/>
    <s v="P1a"/>
    <s v="O "/>
    <n v="11"/>
    <n v="1"/>
    <n v="2"/>
    <n v="3"/>
    <n v="2"/>
    <n v="6"/>
    <n v="14"/>
    <n v="2"/>
    <n v="9"/>
    <s v="Reprovado"/>
    <s v="MP"/>
    <n v="5"/>
    <s v="Piorou (-12 valores, -85,7%)"/>
  </r>
  <r>
    <n v="102150"/>
    <s v="ANTONIO CÉSAR CASTRO IGLESIAS"/>
    <s v="antonio.iglesias@ua.pt"/>
    <n v="8220"/>
    <s v="TP1"/>
    <s v="P8"/>
    <s v="O "/>
    <n v="10"/>
    <n v="1"/>
    <n v="2"/>
    <n v="6"/>
    <n v="3"/>
    <n v="7"/>
    <n v="19"/>
    <n v="2"/>
    <n v="10.333333333333334"/>
    <s v="Aprovado"/>
    <m/>
    <s v="—"/>
    <s v="Piorou (-17 valores, -89,5%)"/>
  </r>
  <r>
    <n v="107185"/>
    <s v="JOÃO AFONSO DA SILVA ALMEIDA"/>
    <s v="joao.afonso.salmeida@ua.pt"/>
    <n v="8220"/>
    <s v="TP2"/>
    <s v="P8"/>
    <s v="O "/>
    <n v="11"/>
    <n v="3"/>
    <n v="1"/>
    <n v="4"/>
    <n v="1"/>
    <n v="1"/>
    <n v="10"/>
    <n v="2"/>
    <n v="7.666666666666667"/>
    <s v="Reprovado"/>
    <s v="MP"/>
    <n v="9"/>
    <s v="Piorou (-8 valores, -80%)"/>
  </r>
  <r>
    <n v="104229"/>
    <s v="ANA AIDA GOMES VIEIRA MOREIRA DE SÁ"/>
    <s v="anaaida@ua.pt"/>
    <n v="8220"/>
    <s v="TP2"/>
    <s v="P8"/>
    <s v="O "/>
    <n v="12"/>
    <n v="3"/>
    <n v="1"/>
    <n v="1"/>
    <n v="3"/>
    <n v="1"/>
    <n v="9"/>
    <n v="2"/>
    <n v="7.666666666666667"/>
    <s v="Reprovado"/>
    <s v="MP"/>
    <n v="9"/>
    <s v="Piorou (-7 valores, -77,8%)"/>
  </r>
  <r>
    <n v="103235"/>
    <s v="BERNARDO FONSECA NEVES OLIVEIRA"/>
    <s v="berna.oliveira@ua.pt"/>
    <n v="8220"/>
    <s v="TP2"/>
    <s v="P1a"/>
    <s v="O "/>
    <n v="9"/>
    <n v="2"/>
    <n v="1"/>
    <n v="1"/>
    <n v="2"/>
    <n v="2"/>
    <n v="8"/>
    <n v="2"/>
    <n v="6.333333333333333"/>
    <s v="Reprovado"/>
    <s v="MP"/>
    <n v="13"/>
    <s v="Piorou (-6 valores, -75%)"/>
  </r>
  <r>
    <n v="110719"/>
    <s v="CAROLINA MELO E VALE MONETTO"/>
    <s v="carol.melo@ua.pt"/>
    <n v="8220"/>
    <s v="TP1"/>
    <s v="P7"/>
    <s v="O "/>
    <n v="10"/>
    <n v="1"/>
    <n v="1"/>
    <n v="1"/>
    <n v="3"/>
    <n v="2"/>
    <n v="8"/>
    <n v="2"/>
    <n v="6.666666666666667"/>
    <s v="Reprovado"/>
    <s v="MP"/>
    <n v="12"/>
    <s v="Piorou (-6 valores, -75%)"/>
  </r>
  <r>
    <n v="102669"/>
    <s v="HENRIQUE SARMENTO CALDEIRA"/>
    <s v="h.caldeira@ua.pt"/>
    <n v="8220"/>
    <s v="TP2"/>
    <s v="P1"/>
    <s v="O "/>
    <n v="17"/>
    <n v="3"/>
    <n v="1"/>
    <n v="2"/>
    <n v="1"/>
    <n v="2"/>
    <n v="9"/>
    <n v="2"/>
    <n v="9.3333333333333339"/>
    <s v="Reprovado"/>
    <s v="MP"/>
    <n v="4"/>
    <s v="Piorou (-7 valores, -77,8%)"/>
  </r>
  <r>
    <n v="108113"/>
    <s v="JOANA MARIA FREITAS GASPAR"/>
    <s v="joana.gaspar@ua.pt"/>
    <n v="8220"/>
    <s v="TP1"/>
    <s v="P1a"/>
    <s v="O "/>
    <n v="18"/>
    <n v="2"/>
    <n v="3"/>
    <n v="1"/>
    <n v="1"/>
    <n v="1"/>
    <n v="8"/>
    <n v="2"/>
    <n v="9.3333333333333339"/>
    <s v="Reprovado"/>
    <s v="MP"/>
    <n v="4"/>
    <s v="Piorou (-6 valores, -75%)"/>
  </r>
  <r>
    <n v="108204"/>
    <s v="MARCO ANTÓNIO SILVA RODRIGUES"/>
    <s v="mar.ant@ua.pt"/>
    <n v="8220"/>
    <s v="TP2"/>
    <s v="P1a"/>
    <s v="O "/>
    <n v="9"/>
    <n v="1"/>
    <n v="5"/>
    <n v="2"/>
    <n v="1"/>
    <n v="2"/>
    <n v="11"/>
    <n v="2"/>
    <n v="7.333333333333333"/>
    <s v="Reprovado"/>
    <s v="MP"/>
    <n v="10"/>
    <s v="Piorou (-9 valores, -81,8%)"/>
  </r>
  <r>
    <n v="107356"/>
    <s v="ANA RAQUEL ARRAIOLOS VICENTE"/>
    <s v="raquelarraiolos@ua.pt"/>
    <n v="8220"/>
    <s v="TP2"/>
    <s v="P9"/>
    <s v="O "/>
    <n v="12"/>
    <n v="1"/>
    <n v="1"/>
    <n v="2"/>
    <n v="3"/>
    <n v="2"/>
    <n v="9"/>
    <n v="2"/>
    <n v="7.666666666666667"/>
    <s v="Reprovado"/>
    <s v="MP"/>
    <n v="9"/>
    <s v="Piorou (-7 valores, -77,8%)"/>
  </r>
  <r>
    <n v="102011"/>
    <s v="CAROLINA FERREIRA MARTINS"/>
    <s v="cfmartins@ua.pt"/>
    <n v="8220"/>
    <s v="TP2"/>
    <s v="P2"/>
    <s v="O "/>
    <n v="18"/>
    <n v="1"/>
    <n v="1"/>
    <n v="4"/>
    <n v="3"/>
    <n v="3"/>
    <n v="12"/>
    <n v="2"/>
    <n v="10.666666666666666"/>
    <s v="Aprovado"/>
    <m/>
    <s v="—"/>
    <s v="Piorou (-10 valores, -83,3%)"/>
  </r>
  <r>
    <n v="104183"/>
    <s v="LILIANA RAQUEL PEREIRA DA CUNHA"/>
    <s v="lilianacunha02@ua.pt"/>
    <n v="8220"/>
    <s v="TP2"/>
    <s v="P1"/>
    <s v="O "/>
    <n v="14"/>
    <n v="1"/>
    <n v="2"/>
    <n v="3"/>
    <n v="5"/>
    <n v="1"/>
    <n v="12"/>
    <n v="2"/>
    <n v="9.3333333333333339"/>
    <s v="Reprovado"/>
    <s v="MP"/>
    <n v="4"/>
    <s v="Piorou (-10 valores, -83,3%)"/>
  </r>
  <r>
    <n v="108629"/>
    <s v="CAROLINA AMOEDO DE SOUSA AFONSO"/>
    <s v="carol.afonso@ua.pt"/>
    <n v="8220"/>
    <s v="TP2"/>
    <s v="P9"/>
    <s v="O "/>
    <n v="16"/>
    <n v="2"/>
    <n v="1"/>
    <n v="7"/>
    <n v="5"/>
    <n v="4"/>
    <n v="19"/>
    <n v="2"/>
    <n v="12.333333333333334"/>
    <s v="Aprovado"/>
    <m/>
    <s v="—"/>
    <s v="Piorou (-17 valores, -89,5%)"/>
  </r>
  <r>
    <n v="102743"/>
    <s v="CATARINA SANTOS RODRIGUES"/>
    <s v="catarinasantosrodrigues@ua.pt"/>
    <n v="8220"/>
    <s v="TP1"/>
    <s v="P5"/>
    <s v="O "/>
    <n v="10"/>
    <n v="1"/>
    <n v="4"/>
    <n v="8"/>
    <n v="5"/>
    <n v="1"/>
    <n v="19"/>
    <n v="2"/>
    <n v="10.333333333333334"/>
    <s v="Aprovado"/>
    <m/>
    <s v="—"/>
    <s v="Piorou (-17 valores, -89,5%)"/>
  </r>
  <r>
    <n v="108654"/>
    <s v="MARIA INÊS MARQUES LOPES"/>
    <s v="milopes@ua.pt"/>
    <n v="8220"/>
    <s v="TP2"/>
    <s v="P9"/>
    <s v="TP"/>
    <n v="11"/>
    <n v="1"/>
    <n v="2"/>
    <n v="6"/>
    <n v="2"/>
    <n v="1"/>
    <n v="12"/>
    <n v="2"/>
    <n v="8.3333333333333339"/>
    <s v="Reprovado"/>
    <s v="MP"/>
    <n v="7"/>
    <s v="Piorou (-10 valores, -83,3%)"/>
  </r>
  <r>
    <n v="108869"/>
    <s v="ANA MARGARIDA DA COSTA COELHO"/>
    <s v="ana.marg@ua.pt"/>
    <n v="8220"/>
    <s v="TP1"/>
    <s v="P8"/>
    <s v="O "/>
    <n v="8"/>
    <n v="2"/>
    <n v="1"/>
    <n v="3"/>
    <n v="2"/>
    <n v="1"/>
    <n v="9"/>
    <n v="2"/>
    <n v="6.333333333333333"/>
    <s v="Reprovado"/>
    <s v="MP"/>
    <n v="13"/>
    <s v="Piorou (-7 valores, -77,8%)"/>
  </r>
  <r>
    <n v="103761"/>
    <s v="CARLOS JOSÉ FONSECA E AZEVEDO"/>
    <s v="azevedocarlos@ua.pt"/>
    <n v="8220"/>
    <s v="TP2"/>
    <s v="P1"/>
    <s v="O "/>
    <n v="8"/>
    <n v="1"/>
    <n v="5"/>
    <n v="3"/>
    <n v="1"/>
    <n v="8"/>
    <n v="18"/>
    <n v="2"/>
    <n v="9.3333333333333339"/>
    <s v="Reprovado"/>
    <s v="MP"/>
    <n v="4"/>
    <s v="Piorou (-16 valores, -88,9%)"/>
  </r>
  <r>
    <n v="107208"/>
    <s v="EDGAR JOSE SANTANA SILVA"/>
    <s v="edgarjsilva19@ua.pt"/>
    <n v="8220"/>
    <s v="TP2"/>
    <s v="P1a"/>
    <s v="O "/>
    <n v="14"/>
    <n v="1"/>
    <n v="2"/>
    <n v="5"/>
    <n v="3"/>
    <n v="1"/>
    <n v="12"/>
    <n v="2"/>
    <n v="9.3333333333333339"/>
    <s v="Reprovado"/>
    <s v="MP"/>
    <n v="4"/>
    <s v="Piorou (-10 valores, -83,3%)"/>
  </r>
  <r>
    <n v="103314"/>
    <s v="MADALENA LOPES SANTOS MARTINS NABAIS"/>
    <s v="madalenanabais@ua.pt"/>
    <n v="8220"/>
    <s v="TP2"/>
    <s v="P3"/>
    <s v="O "/>
    <n v="8"/>
    <n v="1"/>
    <n v="3"/>
    <n v="3"/>
    <n v="4"/>
    <n v="3"/>
    <n v="14"/>
    <n v="2"/>
    <n v="8"/>
    <s v="Reprovado"/>
    <s v="MP"/>
    <n v="8"/>
    <s v="Piorou (-12 valores, -85,7%)"/>
  </r>
  <r>
    <n v="109150"/>
    <s v="INES DOS SANTOS MARTINS"/>
    <s v="inessantosmartins@ua.pt"/>
    <n v="8220"/>
    <s v="TP2"/>
    <s v="P1a"/>
    <s v="O "/>
    <n v="14"/>
    <n v="3"/>
    <n v="4"/>
    <n v="4"/>
    <n v="1"/>
    <n v="2"/>
    <n v="14"/>
    <n v="2"/>
    <n v="10"/>
    <s v="Aprovado"/>
    <m/>
    <s v="—"/>
    <s v="Piorou (-12 valores, -85,7%)"/>
  </r>
  <r>
    <n v="105431"/>
    <s v="DIANA ALEXANDRA GUEDES VIEIRA"/>
    <s v="dag2@ua.pt"/>
    <n v="8220"/>
    <s v="TP1"/>
    <s v="P7"/>
    <s v="O "/>
    <n v="11"/>
    <n v="1"/>
    <n v="2"/>
    <n v="2"/>
    <n v="7"/>
    <n v="6"/>
    <n v="18"/>
    <n v="2"/>
    <n v="10.333333333333334"/>
    <s v="Aprovado"/>
    <m/>
    <s v="—"/>
    <s v="Piorou (-16 valores, -88,9%)"/>
  </r>
  <r>
    <n v="103768"/>
    <s v="MARIA MARGARIDA PINTO ROCHA"/>
    <s v="mmrocha@ua.pt"/>
    <n v="8258"/>
    <s v="TP2"/>
    <s v="P1a"/>
    <s v="O "/>
    <n v="18"/>
    <n v="2"/>
    <n v="3"/>
    <n v="4"/>
    <n v="2"/>
    <n v="2"/>
    <n v="13"/>
    <n v="2"/>
    <n v="11"/>
    <s v="Aprovado"/>
    <m/>
    <s v="—"/>
    <s v="Piorou (-11 valores, -84,6%)"/>
  </r>
  <r>
    <n v="98007"/>
    <s v="BEATRIZ PINHEIRO PIRES"/>
    <s v="beatrizppires@ua.pt"/>
    <n v="8220"/>
    <s v="TP2"/>
    <s v="P1a"/>
    <s v="O "/>
    <n v="11"/>
    <n v="1"/>
    <n v="3"/>
    <n v="2"/>
    <n v="1"/>
    <n v="1"/>
    <n v="8"/>
    <n v="2"/>
    <n v="7"/>
    <s v="Reprovado"/>
    <s v="MP"/>
    <n v="11"/>
    <s v="Piorou (-6 valores, -75%)"/>
  </r>
  <r>
    <n v="107594"/>
    <s v="CATARINA ALEXANDRA RAMOS MANJOLINHO COSTA"/>
    <s v="catarina.costa21@ua.pt"/>
    <n v="8220"/>
    <s v="TP2"/>
    <s v="P2"/>
    <s v="O "/>
    <n v="16"/>
    <n v="4"/>
    <n v="2"/>
    <n v="2"/>
    <n v="1"/>
    <n v="4"/>
    <n v="13"/>
    <n v="2"/>
    <n v="10.333333333333334"/>
    <s v="Aprovado"/>
    <m/>
    <s v="—"/>
    <s v="Piorou (-11 valores, -84,6%)"/>
  </r>
  <r>
    <n v="107319"/>
    <s v="MARIANA VIEIRA LIMA"/>
    <s v="mvlima@ua.pt"/>
    <n v="8220"/>
    <s v="TP2"/>
    <s v="P1"/>
    <s v="O "/>
    <n v="16"/>
    <n v="5"/>
    <n v="2"/>
    <n v="3"/>
    <n v="3"/>
    <n v="1"/>
    <n v="14"/>
    <n v="2"/>
    <n v="10.666666666666666"/>
    <s v="Aprovado"/>
    <m/>
    <s v="—"/>
    <s v="Piorou (-12 valores, -85,7%)"/>
  </r>
  <r>
    <n v="99397"/>
    <s v="JOANA GONÇALVES FERREIRA"/>
    <s v="joanagf@ua.pt"/>
    <n v="8220"/>
    <s v="TP2"/>
    <s v="P1"/>
    <s v="O "/>
    <n v="16"/>
    <n v="2"/>
    <n v="3"/>
    <n v="1"/>
    <n v="1"/>
    <n v="2"/>
    <n v="9"/>
    <n v="2"/>
    <n v="9"/>
    <s v="Reprovado"/>
    <s v="MP"/>
    <n v="5"/>
    <s v="Piorou (-7 valores, -77,8%)"/>
  </r>
  <r>
    <n v="105127"/>
    <s v="PEDRO DANIEL VEIGA ALVES CAIO"/>
    <s v="pedro.caio@ua.pt"/>
    <n v="8258"/>
    <s v="TP1"/>
    <s v="P1a"/>
    <s v="O "/>
    <n v="10"/>
    <n v="2"/>
    <n v="3"/>
    <n v="5"/>
    <n v="3"/>
    <n v="6"/>
    <n v="19"/>
    <n v="2"/>
    <n v="10.333333333333334"/>
    <s v="Aprovado"/>
    <m/>
    <s v="—"/>
    <s v="Piorou (-17 valores, -89,5%)"/>
  </r>
  <r>
    <n v="105083"/>
    <s v="MARGARIDA DA COSTA MOREIRA"/>
    <s v="margaridacmoreira18@ua.pt"/>
    <n v="8220"/>
    <s v="TP1"/>
    <s v="P1a"/>
    <s v="O "/>
    <n v="11"/>
    <n v="4"/>
    <n v="4"/>
    <n v="2"/>
    <n v="1"/>
    <n v="7"/>
    <n v="18"/>
    <n v="2"/>
    <n v="10.333333333333334"/>
    <s v="Aprovado"/>
    <m/>
    <s v="—"/>
    <s v="Piorou (-16 valores, -88,9%)"/>
  </r>
  <r>
    <n v="109162"/>
    <s v="GONÇALO ALBINO BORRELHO NETO"/>
    <s v="goncaloalbino@ua.pt"/>
    <n v="8220"/>
    <s v="TP2"/>
    <s v="P1a"/>
    <s v="O "/>
    <n v="10"/>
    <n v="1"/>
    <n v="2"/>
    <n v="3"/>
    <n v="2"/>
    <n v="2"/>
    <n v="10"/>
    <n v="2"/>
    <n v="7.333333333333333"/>
    <s v="Reprovado"/>
    <s v="MP"/>
    <n v="10"/>
    <s v="Piorou (-8 valores, -80%)"/>
  </r>
  <r>
    <n v="108225"/>
    <s v="INÊS ISABEL OLIVEIRA REBELO"/>
    <s v="ines.i.o.r@ua.pt"/>
    <n v="8220"/>
    <s v="TP2"/>
    <s v="P1"/>
    <s v="O "/>
    <n v="8"/>
    <n v="1"/>
    <n v="1"/>
    <n v="2"/>
    <n v="1"/>
    <n v="3"/>
    <n v="8"/>
    <n v="2"/>
    <n v="6"/>
    <s v="Reprovado"/>
    <s v="MP"/>
    <n v="14"/>
    <s v="Piorou (-6 valores, -75%)"/>
  </r>
  <r>
    <n v="105880"/>
    <s v="BERNARDO JOSÉ DE OLIVEIRA NUNES GOMES"/>
    <s v="nunes.gomes@ua.pt"/>
    <n v="1000"/>
    <s v="TP2"/>
    <s v="P2"/>
    <s v="O "/>
    <n v="16"/>
    <n v="6"/>
    <n v="2"/>
    <n v="6"/>
    <n v="1"/>
    <n v="1"/>
    <n v="16"/>
    <n v="2"/>
    <n v="11.333333333333334"/>
    <s v="Aprovado"/>
    <m/>
    <s v="—"/>
    <s v="Piorou (-14 valores, -87,5%)"/>
  </r>
  <r>
    <n v="108078"/>
    <s v="DUARTE TELES MARTINS"/>
    <s v="duarteteles@ua.pt"/>
    <n v="8220"/>
    <s v="TP1"/>
    <s v="P3"/>
    <s v="O "/>
    <n v="16"/>
    <n v="1"/>
    <n v="1"/>
    <n v="4"/>
    <n v="4"/>
    <n v="2"/>
    <n v="12"/>
    <n v="2"/>
    <n v="10"/>
    <s v="Aprovado"/>
    <m/>
    <s v="—"/>
    <s v="Piorou (-10 valores, -83,3%)"/>
  </r>
  <r>
    <n v="108146"/>
    <s v="CAROLINA RODRIGUES RABAÇAL"/>
    <s v="carolinarodriguesrabacal@ua.pt"/>
    <n v="8220"/>
    <s v="TP2"/>
    <s v="P1a"/>
    <s v="O "/>
    <n v="11"/>
    <n v="2"/>
    <n v="3"/>
    <n v="7"/>
    <n v="1"/>
    <n v="3"/>
    <n v="16"/>
    <n v="2"/>
    <n v="9.6666666666666661"/>
    <s v="Reprovado"/>
    <s v="MP"/>
    <n v="3"/>
    <s v="Piorou (-14 valores, -87,5%)"/>
  </r>
  <r>
    <n v="102437"/>
    <s v="JÚLIA MONIZ GANCHAS"/>
    <s v="juliaganchas@ua.pt"/>
    <n v="8220"/>
    <s v="TP2"/>
    <s v="P1a"/>
    <s v="O "/>
    <n v="16"/>
    <n v="2"/>
    <n v="1"/>
    <n v="2"/>
    <n v="9"/>
    <n v="2"/>
    <n v="16"/>
    <n v="2"/>
    <n v="11.333333333333334"/>
    <s v="Aprovado"/>
    <m/>
    <s v="—"/>
    <s v="Piorou (-14 valores, -87,5%)"/>
  </r>
  <r>
    <n v="97876"/>
    <s v="MARIA INÊS GASPAR SAMPAIO"/>
    <s v="maria.sampaio@ua.pt"/>
    <n v="8220"/>
    <s v="TP2"/>
    <s v="P10"/>
    <s v="O "/>
    <n v="18"/>
    <n v="3"/>
    <n v="3"/>
    <n v="1"/>
    <n v="1"/>
    <n v="1"/>
    <n v="9"/>
    <n v="2"/>
    <n v="9.6666666666666661"/>
    <s v="Reprovado"/>
    <s v="MP"/>
    <n v="3"/>
    <s v="Piorou (-7 valores, -77,8%)"/>
  </r>
  <r>
    <n v="103910"/>
    <s v="ALEXANDRA RODRIGUES ABREU DIAS"/>
    <s v="alexandradias@ua.pt"/>
    <n v="8220"/>
    <s v="TP2"/>
    <s v="P5"/>
    <s v="O "/>
    <n v="10"/>
    <n v="1"/>
    <n v="1"/>
    <n v="1"/>
    <n v="1"/>
    <n v="3"/>
    <n v="7"/>
    <n v="2"/>
    <n v="6.333333333333333"/>
    <s v="Reprovado"/>
    <s v="MP"/>
    <n v="13"/>
    <s v="Piorou (-5 valores, -71,4%)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n v="107447"/>
    <s v="MARIA INÊS OLIVEIRA SILVA"/>
    <s v="maria.ines03@ua.pt"/>
    <n v="8314"/>
    <s v="TP2"/>
    <s v="P1a"/>
    <s v="O "/>
    <n v="13"/>
    <n v="2"/>
    <n v="1"/>
    <n v="3"/>
    <n v="2"/>
    <n v="7"/>
    <n v="15"/>
    <n v="2"/>
    <n v="10"/>
    <s v="Aprovado"/>
    <m/>
    <s v="—"/>
    <s v="Piorou (-13 valores, -86,7%)"/>
  </r>
  <r>
    <n v="94716"/>
    <s v="ANA CATARINA FONSECA MARQUES"/>
    <s v="acatarinafmarques@ua.pt"/>
    <n v="8246"/>
    <s v="TP1"/>
    <s v="P8"/>
    <s v="O "/>
    <n v="8"/>
    <n v="3"/>
    <n v="4"/>
    <n v="2"/>
    <n v="1"/>
    <n v="1"/>
    <n v="11"/>
    <n v="2"/>
    <n v="7"/>
    <s v="Reprovado"/>
    <s v="MP"/>
    <n v="11"/>
    <s v="Piorou (-9 valores, -81,8%)"/>
  </r>
  <r>
    <n v="107135"/>
    <s v="MARIANA FIGUEIREDO MARQUES"/>
    <s v="marianamarques04@ua.pt"/>
    <n v="8314"/>
    <s v="TP2"/>
    <s v="P2"/>
    <s v="O "/>
    <n v="11"/>
    <n v="1"/>
    <n v="3"/>
    <n v="4"/>
    <n v="1"/>
    <n v="1"/>
    <n v="10"/>
    <n v="2"/>
    <n v="7.666666666666667"/>
    <s v="Reprovado"/>
    <s v="MP"/>
    <n v="9"/>
    <s v="Piorou (-8 valores, -80%)"/>
  </r>
  <r>
    <n v="107390"/>
    <s v="MARIA JOÃO MATOS FORTE"/>
    <s v="mariaforte@ua.pt"/>
    <n v="8314"/>
    <s v="NO_TP"/>
    <m/>
    <m/>
    <n v="11"/>
    <n v="13"/>
    <n v="2"/>
    <n v="1"/>
    <n v="2"/>
    <n v="1"/>
    <n v="19"/>
    <n v="2"/>
    <n v="10.666666666666666"/>
    <s v="Aprovado"/>
    <m/>
    <s v="—"/>
    <s v="Piorou (-17 valores, -89,5%)"/>
  </r>
  <r>
    <n v="108121"/>
    <s v="DANIELA INÊS FERREIRA TELES"/>
    <s v="dani.teles@ua.pt"/>
    <n v="8314"/>
    <s v="TP1"/>
    <s v="P10"/>
    <s v="O "/>
    <n v="15"/>
    <n v="1"/>
    <n v="2"/>
    <n v="2"/>
    <n v="1"/>
    <n v="1"/>
    <n v="7"/>
    <n v="2"/>
    <n v="8"/>
    <s v="Reprovado"/>
    <s v="MP"/>
    <n v="8"/>
    <s v="Piorou (-5 valores, -71,4%)"/>
  </r>
  <r>
    <n v="107242"/>
    <s v="JOANA MONTEIRO MOREIRA DA SILVA"/>
    <s v="joanammsilva@ua.pt"/>
    <n v="8314"/>
    <s v="TP1"/>
    <s v="P7"/>
    <s v="O "/>
    <n v="17"/>
    <n v="1"/>
    <n v="1"/>
    <n v="1"/>
    <n v="4"/>
    <n v="4"/>
    <n v="11"/>
    <n v="2"/>
    <n v="10"/>
    <s v="Aprovado"/>
    <m/>
    <s v="—"/>
    <s v="Piorou (-9 valores, -81,8%)"/>
  </r>
  <r>
    <n v="108589"/>
    <s v="JOANA GOMES INÁCIO"/>
    <s v="joana.inacio8@ua.pt"/>
    <n v="8314"/>
    <s v="TP2"/>
    <s v="P6"/>
    <s v="O "/>
    <n v="11"/>
    <n v="1"/>
    <n v="2"/>
    <n v="2"/>
    <n v="1"/>
    <n v="4"/>
    <n v="10"/>
    <n v="2"/>
    <n v="7.666666666666667"/>
    <s v="Reprovado"/>
    <s v="MP"/>
    <n v="9"/>
    <s v="Piorou (-8 valores, -80%)"/>
  </r>
  <r>
    <n v="108522"/>
    <s v="JOSÉ PEDRO ALMEIDA ABREU"/>
    <s v="jpaabreu@ua.pt"/>
    <n v="8315"/>
    <s v="TP1"/>
    <s v="P7"/>
    <s v="O "/>
    <n v="13"/>
    <n v="2"/>
    <n v="3"/>
    <n v="3"/>
    <n v="1"/>
    <n v="9"/>
    <n v="18"/>
    <n v="2"/>
    <n v="11"/>
    <s v="Aprovado"/>
    <m/>
    <s v="—"/>
    <s v="Piorou (-16 valores, -88,9%)"/>
  </r>
  <r>
    <n v="107218"/>
    <s v="EDUARDA VILAS BOAS CASTRO"/>
    <s v="eduardacastro@ua.pt"/>
    <n v="8314"/>
    <s v="TP2"/>
    <s v="P5"/>
    <s v="O "/>
    <n v="10"/>
    <n v="2"/>
    <n v="2"/>
    <n v="6"/>
    <n v="7"/>
    <n v="2"/>
    <n v="19"/>
    <n v="2"/>
    <n v="10.333333333333334"/>
    <s v="Aprovado"/>
    <m/>
    <s v="—"/>
    <s v="Piorou (-17 valores, -89,5%)"/>
  </r>
  <r>
    <n v="108189"/>
    <s v="JOSÉ PEDRO GASPAR BARBOSA"/>
    <s v="gasparbarbosa@ua.pt"/>
    <n v="8314"/>
    <s v="TP2"/>
    <s v="P2"/>
    <s v="O "/>
    <n v="12"/>
    <n v="1"/>
    <n v="1"/>
    <n v="2"/>
    <n v="5"/>
    <n v="4"/>
    <n v="13"/>
    <n v="2"/>
    <n v="9"/>
    <s v="Reprovado"/>
    <s v="MP"/>
    <n v="5"/>
    <s v="Piorou (-11 valores, -84,6%)"/>
  </r>
  <r>
    <n v="107372"/>
    <s v="ELIANA PERES BETTENCOURT"/>
    <s v="eliana.bettencourt@ua.pt"/>
    <n v="8314"/>
    <s v="TP2"/>
    <s v="P2"/>
    <s v="O "/>
    <n v="15"/>
    <n v="6"/>
    <n v="4"/>
    <n v="1"/>
    <n v="4"/>
    <n v="1"/>
    <n v="16"/>
    <n v="2"/>
    <n v="11"/>
    <s v="Aprovado"/>
    <m/>
    <s v="—"/>
    <s v="Piorou (-14 valores, -87,5%)"/>
  </r>
  <r>
    <n v="108957"/>
    <s v="DIOGO GABRIEL ANTUNES CANHOTO"/>
    <s v="diogo.gcanhoto@ua.pt"/>
    <n v="8314"/>
    <s v="TP1"/>
    <s v="P8"/>
    <s v="O "/>
    <n v="14"/>
    <n v="1"/>
    <n v="5"/>
    <n v="2"/>
    <n v="5"/>
    <n v="5"/>
    <n v="18"/>
    <n v="2"/>
    <n v="11.333333333333334"/>
    <s v="Aprovado"/>
    <m/>
    <s v="—"/>
    <s v="Piorou (-16 valores, -88,9%)"/>
  </r>
  <r>
    <n v="107440"/>
    <s v="PEDRO GABRIEL DE OLIVEIRA CARRINHO"/>
    <s v="gab.oliveira@ua.pt"/>
    <n v="8314"/>
    <s v="TP2"/>
    <s v="P1"/>
    <s v="O "/>
    <n v="16"/>
    <n v="5"/>
    <n v="1"/>
    <n v="2"/>
    <n v="5"/>
    <n v="2"/>
    <n v="15"/>
    <n v="2"/>
    <n v="11"/>
    <s v="Aprovado"/>
    <m/>
    <s v="—"/>
    <s v="Piorou (-13 valores, -86,7%)"/>
  </r>
  <r>
    <n v="108188"/>
    <s v="JOÃO MANUEL ANDRADE DOS SANTOS MENDONÇA TEIXEIRA"/>
    <s v="joaomat22@ua.pt"/>
    <n v="8314"/>
    <s v="TP2"/>
    <s v="P1"/>
    <s v="O "/>
    <n v="16"/>
    <n v="1"/>
    <n v="2"/>
    <n v="1"/>
    <n v="2"/>
    <n v="1"/>
    <n v="7"/>
    <n v="2"/>
    <n v="8.3333333333333339"/>
    <s v="Reprovado"/>
    <s v="MP"/>
    <n v="7"/>
    <s v="Piorou (-5 valores, -71,4%)"/>
  </r>
  <r>
    <n v="108855"/>
    <s v="MARIANA GONÇALVES MOREIRA"/>
    <s v="marianagmoreira@ua.pt"/>
    <n v="8314"/>
    <s v="TP1"/>
    <s v="P8"/>
    <s v="O "/>
    <n v="18"/>
    <n v="2"/>
    <n v="1"/>
    <n v="7"/>
    <n v="1"/>
    <n v="4"/>
    <n v="15"/>
    <n v="2"/>
    <n v="11.666666666666666"/>
    <s v="Aprovado"/>
    <m/>
    <s v="—"/>
    <s v="Piorou (-13 valores, -86,7%)"/>
  </r>
  <r>
    <n v="108672"/>
    <s v="MARIANA SOFIA GONÇALVES CORDEIRO"/>
    <s v="marianacordeiro05@ua.pt"/>
    <n v="8314"/>
    <s v="TP1"/>
    <s v="P8"/>
    <s v="O "/>
    <n v="9"/>
    <n v="1"/>
    <n v="4"/>
    <n v="1"/>
    <n v="1"/>
    <n v="5"/>
    <n v="12"/>
    <n v="2"/>
    <n v="7.666666666666667"/>
    <s v="Reprovado"/>
    <s v="MP"/>
    <n v="9"/>
    <s v="Piorou (-10 valores, -83,3%)"/>
  </r>
  <r>
    <n v="108138"/>
    <s v="DIOGO MIGUEL RAMOS ÓRFÃO"/>
    <s v="diogo.orfao@ua.pt"/>
    <n v="8314"/>
    <s v="TP2"/>
    <s v="P1"/>
    <s v="O "/>
    <n v="14"/>
    <n v="3"/>
    <n v="1"/>
    <n v="2"/>
    <n v="5"/>
    <n v="5"/>
    <n v="16"/>
    <n v="2"/>
    <n v="10.666666666666666"/>
    <s v="Aprovado"/>
    <m/>
    <s v="—"/>
    <s v="Piorou (-14 valores, -87,5%)"/>
  </r>
  <r>
    <n v="107236"/>
    <s v="BEATRIZ MARTINS AFONSO"/>
    <s v="beatriz.afonso@ua.pt"/>
    <n v="8314"/>
    <s v="TP1"/>
    <s v="P8"/>
    <s v="O "/>
    <n v="15"/>
    <n v="1"/>
    <n v="2"/>
    <n v="1"/>
    <n v="2"/>
    <n v="1"/>
    <n v="7"/>
    <n v="2"/>
    <n v="8"/>
    <s v="Reprovado"/>
    <s v="MP"/>
    <n v="8"/>
    <s v="Piorou (-5 valores, -71,4%)"/>
  </r>
  <r>
    <n v="104204"/>
    <s v="ALEXANDER ANTONIO RODRIGUES SIMÕES"/>
    <s v="alexander.antoni@ua.pt"/>
    <n v="8307"/>
    <s v="TP1"/>
    <s v="P8"/>
    <s v="O "/>
    <n v="15"/>
    <n v="6"/>
    <n v="1"/>
    <n v="1"/>
    <n v="3"/>
    <n v="8"/>
    <n v="19"/>
    <n v="2"/>
    <n v="12"/>
    <s v="Aprovado"/>
    <m/>
    <s v="—"/>
    <s v="Piorou (-17 valores, -89,5%)"/>
  </r>
  <r>
    <n v="107428"/>
    <s v="INÊS MARGARIDA PINHEIRO DE MELO"/>
    <s v="i.melo@ua.pt"/>
    <n v="8314"/>
    <s v="TP1"/>
    <s v="P10"/>
    <s v="O "/>
    <n v="16"/>
    <n v="1"/>
    <n v="2"/>
    <n v="10"/>
    <n v="1"/>
    <n v="2"/>
    <n v="16"/>
    <n v="2"/>
    <n v="11.333333333333334"/>
    <s v="Aprovado"/>
    <m/>
    <s v="—"/>
    <s v="Piorou (-14 valores, -87,5%)"/>
  </r>
  <r>
    <n v="107259"/>
    <s v="DANIEL FILIPE MOTA LEAL"/>
    <s v="daniel.mota.leal@ua.pt"/>
    <n v="8314"/>
    <s v="TP1"/>
    <s v="P10"/>
    <s v="O "/>
    <n v="9"/>
    <n v="2"/>
    <n v="1"/>
    <n v="5"/>
    <n v="3"/>
    <n v="2"/>
    <n v="13"/>
    <n v="2"/>
    <n v="8"/>
    <s v="Reprovado"/>
    <s v="MP"/>
    <n v="8"/>
    <s v="Piorou (-11 valores, -84,6%)"/>
  </r>
  <r>
    <n v="100088"/>
    <s v="MARIA MIGUEL LOPES DE CASTRO"/>
    <s v="maria.castro@ua.pt"/>
    <n v="8307"/>
    <s v="TP2"/>
    <s v="P1"/>
    <s v="O "/>
    <n v="13"/>
    <n v="6"/>
    <n v="3"/>
    <n v="1"/>
    <n v="1"/>
    <n v="1"/>
    <n v="12"/>
    <n v="2"/>
    <n v="9"/>
    <s v="Reprovado"/>
    <s v="MP"/>
    <n v="5"/>
    <s v="Piorou (-10 valores, -83,3%)"/>
  </r>
  <r>
    <n v="108506"/>
    <s v="CAROLINA FERREIRA CATALAO"/>
    <s v="carolinacatalao@ua.pt"/>
    <n v="8314"/>
    <s v="TP2"/>
    <s v="P1"/>
    <s v="O "/>
    <n v="17"/>
    <n v="1"/>
    <n v="2"/>
    <n v="2"/>
    <n v="4"/>
    <n v="1"/>
    <n v="10"/>
    <n v="2"/>
    <n v="9.6666666666666661"/>
    <s v="Reprovado"/>
    <s v="MP"/>
    <n v="3"/>
    <s v="Piorou (-8 valores, -80%)"/>
  </r>
  <r>
    <n v="110376"/>
    <s v="RICARDO OLIVEIRA FIGUEIREDO"/>
    <s v="rfigueiredo@ua.pt"/>
    <n v="8314"/>
    <s v="TP2"/>
    <s v="P1"/>
    <s v="O "/>
    <n v="16"/>
    <n v="1"/>
    <n v="1"/>
    <n v="2"/>
    <n v="2"/>
    <n v="2"/>
    <n v="8"/>
    <n v="2"/>
    <n v="8.6666666666666661"/>
    <s v="Reprovado"/>
    <s v="MP"/>
    <n v="6"/>
    <s v="Piorou (-6 valores, -75%)"/>
  </r>
  <r>
    <n v="109038"/>
    <s v="MARTA BOTAS DUARTE GONÇALVES"/>
    <s v="martabdg@ua.pt"/>
    <n v="8314"/>
    <s v="TP1"/>
    <s v="P10"/>
    <s v="O "/>
    <n v="17"/>
    <n v="5"/>
    <n v="2"/>
    <n v="2"/>
    <n v="2"/>
    <n v="4"/>
    <n v="15"/>
    <n v="2"/>
    <n v="11.333333333333334"/>
    <s v="Aprovado"/>
    <m/>
    <s v="—"/>
    <s v="Piorou (-13 valores, -86,7%)"/>
  </r>
  <r>
    <n v="108727"/>
    <s v="JOÃO PEDRO ROLO FIGUEIREDO"/>
    <s v="joaorolo03@ua.pt"/>
    <n v="8314"/>
    <s v="TP1"/>
    <s v="P10"/>
    <s v="O "/>
    <n v="12"/>
    <n v="1"/>
    <n v="1"/>
    <n v="1"/>
    <n v="1"/>
    <n v="3"/>
    <n v="7"/>
    <n v="2"/>
    <n v="7"/>
    <s v="Reprovado"/>
    <s v="MP"/>
    <n v="11"/>
    <s v="Piorou (-5 valores, -71,4%)"/>
  </r>
  <r>
    <n v="93973"/>
    <s v="CATARINA DUARTE MARTINS"/>
    <s v="cdmartins@ua.pt"/>
    <n v="8307"/>
    <s v="TP1"/>
    <s v="P10"/>
    <s v="O "/>
    <n v="11"/>
    <n v="3"/>
    <n v="2"/>
    <n v="1"/>
    <n v="3"/>
    <n v="2"/>
    <n v="11"/>
    <n v="2"/>
    <n v="8"/>
    <s v="Reprovado"/>
    <s v="MP"/>
    <n v="8"/>
    <s v="Piorou (-9 valores, -81,8%)"/>
  </r>
  <r>
    <n v="108381"/>
    <s v="MARIANA OLIVEIRA LEITE"/>
    <s v="marianaleite26@ua.pt"/>
    <n v="8314"/>
    <s v="TP1"/>
    <s v="P10"/>
    <s v="O "/>
    <n v="8"/>
    <n v="3"/>
    <n v="2"/>
    <n v="2"/>
    <n v="2"/>
    <n v="9"/>
    <n v="18"/>
    <n v="2"/>
    <n v="9.3333333333333339"/>
    <s v="Reprovado"/>
    <s v="MP"/>
    <n v="4"/>
    <s v="Piorou (-16 valores, -88,9%)"/>
  </r>
  <r>
    <n v="108694"/>
    <s v="MIGUEL XAVIER LIRA"/>
    <s v="miguelxlira7@ua.pt"/>
    <n v="8314"/>
    <s v="TP1"/>
    <s v="P10"/>
    <s v="O "/>
    <n v="11"/>
    <n v="1"/>
    <n v="3"/>
    <n v="1"/>
    <n v="11"/>
    <n v="2"/>
    <n v="18"/>
    <n v="2"/>
    <n v="10.333333333333334"/>
    <s v="Aprovado"/>
    <m/>
    <s v="—"/>
    <s v="Piorou (-16 valores, -88,9%)"/>
  </r>
  <r>
    <n v="108421"/>
    <s v="AFONSO ROSAS MARQUES DE OLIVEIRA RELVAS"/>
    <s v="marques.afonso@ua.pt"/>
    <n v="8314"/>
    <s v="TP2"/>
    <s v="P1"/>
    <s v="O "/>
    <n v="13"/>
    <n v="1"/>
    <n v="2"/>
    <n v="1"/>
    <n v="4"/>
    <n v="8"/>
    <n v="16"/>
    <n v="2"/>
    <n v="10.333333333333334"/>
    <s v="Aprovado"/>
    <m/>
    <s v="—"/>
    <s v="Piorou (-14 valores, -87,5%)"/>
  </r>
  <r>
    <n v="108366"/>
    <s v="LEONOR MARQUES LEITE DE CARVALHO CAMPOS"/>
    <s v="leonor.marques@ua.pt"/>
    <n v="8314"/>
    <s v="TP1"/>
    <s v="P10"/>
    <s v="O "/>
    <n v="8"/>
    <n v="2"/>
    <n v="3"/>
    <n v="1"/>
    <n v="1"/>
    <n v="6"/>
    <n v="13"/>
    <n v="2"/>
    <n v="7.666666666666667"/>
    <s v="Reprovado"/>
    <s v="MP"/>
    <n v="9"/>
    <s v="Piorou (-11 valores, -84,6%)"/>
  </r>
  <r>
    <n v="109462"/>
    <s v="JOÃO HENRIQUE DE CASTRO MACHADO E SANTOS"/>
    <s v="joaohenriquesantos@ua.pt"/>
    <n v="8314"/>
    <s v="TP1"/>
    <s v="P10"/>
    <s v="O "/>
    <n v="10"/>
    <n v="5"/>
    <n v="4"/>
    <n v="1"/>
    <n v="1"/>
    <n v="1"/>
    <n v="12"/>
    <n v="2"/>
    <n v="8"/>
    <s v="Reprovado"/>
    <s v="MP"/>
    <n v="8"/>
    <s v="Piorou (-10 valores, -83,3%)"/>
  </r>
  <r>
    <n v="93742"/>
    <s v="PEDRO ALEXANDRE LOPES MENESES DA SILVA"/>
    <s v="pedrosilva5@ua.pt"/>
    <n v="8307"/>
    <s v="TP1"/>
    <s v="P10"/>
    <s v="O "/>
    <n v="11"/>
    <n v="2"/>
    <n v="3"/>
    <n v="5"/>
    <n v="2"/>
    <n v="2"/>
    <n v="14"/>
    <n v="2"/>
    <n v="9"/>
    <s v="Reprovado"/>
    <s v="MP"/>
    <n v="5"/>
    <s v="Piorou (-12 valores, -85,7%)"/>
  </r>
  <r>
    <n v="109000"/>
    <s v="ANDRÉ SIMÃO CAMPINOS RAMOS"/>
    <s v="andresramos@ua.pt"/>
    <n v="8314"/>
    <s v="TP1"/>
    <s v="P10"/>
    <s v="O "/>
    <n v="16"/>
    <n v="1"/>
    <n v="3"/>
    <n v="1"/>
    <n v="4"/>
    <n v="6"/>
    <n v="15"/>
    <n v="2"/>
    <n v="11"/>
    <s v="Aprovado"/>
    <m/>
    <s v="—"/>
    <s v="Piorou (-13 valores, -86,7%)"/>
  </r>
  <r>
    <n v="107769"/>
    <s v="MARIA CASSILDA SANTOS SILVA"/>
    <s v="mcss@ua.pt"/>
    <n v="8314"/>
    <s v="TP1"/>
    <s v="P8"/>
    <s v="O "/>
    <n v="9"/>
    <n v="1"/>
    <n v="1"/>
    <n v="2"/>
    <n v="7"/>
    <n v="4"/>
    <n v="15"/>
    <n v="2"/>
    <n v="8.6666666666666661"/>
    <s v="Reprovado"/>
    <s v="MP"/>
    <n v="6"/>
    <s v="Piorou (-13 valores, -86,7%)"/>
  </r>
  <r>
    <n v="101446"/>
    <s v="LUCAS LOUZADA DE ARAUJO"/>
    <s v="lucaslouzada@ua.pt"/>
    <n v="8307"/>
    <s v="TP2"/>
    <s v="P1"/>
    <s v="O "/>
    <n v="11"/>
    <n v="3"/>
    <n v="9"/>
    <n v="1"/>
    <n v="1"/>
    <n v="2"/>
    <n v="16"/>
    <n v="2"/>
    <n v="9.6666666666666661"/>
    <s v="Reprovado"/>
    <s v="MP"/>
    <n v="3"/>
    <s v="Piorou (-14 valores, -87,5%)"/>
  </r>
  <r>
    <n v="109061"/>
    <s v="ÂNGELA MARIA MARTINS DE ABREU RIBEIRO"/>
    <s v="angelammaribeiro@ua.pt"/>
    <n v="8314"/>
    <s v="TP1"/>
    <s v="P10"/>
    <s v="O "/>
    <n v="11"/>
    <n v="1"/>
    <n v="2"/>
    <n v="1"/>
    <n v="3"/>
    <n v="2"/>
    <n v="9"/>
    <n v="2"/>
    <n v="7.333333333333333"/>
    <s v="Reprovado"/>
    <s v="MP"/>
    <n v="10"/>
    <s v="Piorou (-7 valores, -77,8%)"/>
  </r>
  <r>
    <n v="107487"/>
    <s v="JOAO PEDRO SILVA MOREIRA"/>
    <s v="joaomoreira10@ua.pt"/>
    <n v="8314"/>
    <s v="TP2"/>
    <s v="P2"/>
    <s v="O "/>
    <n v="11"/>
    <n v="1"/>
    <n v="2"/>
    <n v="3"/>
    <n v="4"/>
    <n v="5"/>
    <n v="15"/>
    <n v="2"/>
    <n v="9.3333333333333339"/>
    <s v="Reprovado"/>
    <s v="MP"/>
    <n v="4"/>
    <s v="Piorou (-13 valores, -86,7%)"/>
  </r>
  <r>
    <n v="107436"/>
    <s v="FILIPA MARISA DUARTE MOTA"/>
    <s v="filipamarisamota@ua.pt"/>
    <n v="8314"/>
    <s v="TP2"/>
    <s v="P1"/>
    <s v="O "/>
    <n v="15"/>
    <n v="1"/>
    <n v="1"/>
    <n v="4"/>
    <n v="2"/>
    <n v="5"/>
    <n v="13"/>
    <n v="2"/>
    <n v="10"/>
    <s v="Aprovado"/>
    <m/>
    <s v="—"/>
    <s v="Piorou (-11 valores, -84,6%)"/>
  </r>
  <r>
    <n v="107529"/>
    <s v="MARIA EDUARDA DE MELO REDONDO FERNANDES"/>
    <s v="mar.eduarda@ua.pt"/>
    <n v="8314"/>
    <s v="TP1"/>
    <s v="P10"/>
    <s v="O "/>
    <n v="8"/>
    <n v="3"/>
    <n v="1"/>
    <n v="1"/>
    <n v="3"/>
    <n v="10"/>
    <n v="18"/>
    <n v="2"/>
    <n v="9.3333333333333339"/>
    <s v="Reprovado"/>
    <s v="MP"/>
    <n v="4"/>
    <s v="Piorou (-16 valores, -88,9%)"/>
  </r>
  <r>
    <n v="107879"/>
    <s v="VASCO ALEXANDRE COSTA"/>
    <s v="vasco.costa@ua.pt"/>
    <n v="8314"/>
    <s v="TP1"/>
    <s v="P10"/>
    <s v="O "/>
    <n v="9"/>
    <n v="3"/>
    <n v="1"/>
    <n v="2"/>
    <n v="2"/>
    <n v="5"/>
    <n v="13"/>
    <n v="2"/>
    <n v="8"/>
    <s v="Reprovado"/>
    <s v="MP"/>
    <n v="8"/>
    <s v="Piorou (-11 valores, -84,6%)"/>
  </r>
  <r>
    <n v="107788"/>
    <s v="LUZIA COUTO FERREIRA"/>
    <s v="luzia.ferreira@ua.pt"/>
    <n v="8314"/>
    <s v="TP1"/>
    <s v="P9"/>
    <s v="O "/>
    <n v="17"/>
    <n v="1"/>
    <n v="1"/>
    <n v="3"/>
    <n v="4"/>
    <n v="7"/>
    <n v="16"/>
    <n v="2"/>
    <n v="11.666666666666666"/>
    <s v="Aprovado"/>
    <m/>
    <s v="—"/>
    <s v="Piorou (-14 valores, -87,5%)"/>
  </r>
  <r>
    <n v="108449"/>
    <s v="MARIA LEONOR DA SILVA SALGADO"/>
    <s v="leonorsalgado@ua.pt"/>
    <n v="8314"/>
    <s v="TP1"/>
    <s v="P9"/>
    <s v="O "/>
    <n v="17"/>
    <n v="4"/>
    <n v="1"/>
    <n v="1"/>
    <n v="1"/>
    <n v="1"/>
    <n v="8"/>
    <n v="2"/>
    <n v="9"/>
    <s v="Reprovado"/>
    <s v="MP"/>
    <n v="5"/>
    <s v="Piorou (-6 valores, -75%)"/>
  </r>
  <r>
    <n v="108651"/>
    <s v="LARA BEATRIZ MOURA XAVIER FERNANDES"/>
    <s v="larabfernandes@ua.pt"/>
    <n v="8314"/>
    <s v="TP2"/>
    <s v="P2"/>
    <s v="O "/>
    <n v="8"/>
    <n v="3"/>
    <n v="1"/>
    <n v="1"/>
    <n v="3"/>
    <n v="5"/>
    <n v="13"/>
    <n v="2"/>
    <n v="7.666666666666667"/>
    <s v="Reprovado"/>
    <s v="MP"/>
    <n v="9"/>
    <s v="Piorou (-11 valores, -84,6%)"/>
  </r>
  <r>
    <n v="107560"/>
    <s v="GABRIEL CASTRO DA SILVA"/>
    <s v="gabrielcastrosilva@ua.pt"/>
    <n v="8314"/>
    <s v="TP1"/>
    <s v="P9"/>
    <s v="O "/>
    <n v="18"/>
    <n v="8"/>
    <n v="1"/>
    <n v="2"/>
    <n v="2"/>
    <n v="6"/>
    <n v="19"/>
    <n v="2"/>
    <n v="13"/>
    <s v="Aprovado"/>
    <m/>
    <s v="—"/>
    <s v="Piorou (-17 valores, -89,5%)"/>
  </r>
  <r>
    <n v="107977"/>
    <s v="INÊS RAMOS BEBIANO"/>
    <s v="inesbebiano@ua.pt"/>
    <n v="8314"/>
    <s v="TP1"/>
    <s v="P9"/>
    <s v="O "/>
    <n v="12"/>
    <n v="2"/>
    <n v="6"/>
    <n v="1"/>
    <n v="3"/>
    <n v="3"/>
    <n v="15"/>
    <n v="2"/>
    <n v="9.6666666666666661"/>
    <s v="Reprovado"/>
    <s v="MP"/>
    <n v="3"/>
    <s v="Piorou (-13 valores, -86,7%)"/>
  </r>
  <r>
    <n v="107369"/>
    <s v="VASCO ANTÓNIO CARVALHO ROCHA"/>
    <s v="vasco.rocha@ua.pt"/>
    <n v="8314"/>
    <s v="TP2"/>
    <s v="P2"/>
    <s v="O "/>
    <n v="15"/>
    <n v="6"/>
    <n v="2"/>
    <n v="2"/>
    <n v="4"/>
    <n v="1"/>
    <n v="15"/>
    <n v="2"/>
    <n v="10.666666666666666"/>
    <s v="Aprovado"/>
    <m/>
    <s v="—"/>
    <s v="Piorou (-13 valores, -86,7%)"/>
  </r>
  <r>
    <n v="108171"/>
    <s v="ANA MARIA FERNANDES ASSUNÇÃO"/>
    <s v="ana.assuncao31@ua.pt"/>
    <n v="8314"/>
    <s v="TP1"/>
    <s v="P9"/>
    <s v="O "/>
    <n v="11"/>
    <n v="1"/>
    <n v="1"/>
    <n v="5"/>
    <n v="2"/>
    <n v="1"/>
    <n v="10"/>
    <n v="2"/>
    <n v="7.666666666666667"/>
    <s v="Reprovado"/>
    <s v="MP"/>
    <n v="9"/>
    <s v="Piorou (-8 valores, -80%)"/>
  </r>
  <r>
    <n v="107920"/>
    <s v="ALEXANDRE FERREIRA DO VALE"/>
    <s v="alex.vale@ua.pt"/>
    <n v="8314"/>
    <s v="TP2"/>
    <s v="P1"/>
    <s v="O "/>
    <n v="10"/>
    <n v="2"/>
    <n v="3"/>
    <n v="1"/>
    <n v="1"/>
    <n v="2"/>
    <n v="9"/>
    <n v="2"/>
    <n v="7"/>
    <s v="Reprovado"/>
    <s v="MP"/>
    <n v="11"/>
    <s v="Piorou (-7 valores, -77,8%)"/>
  </r>
  <r>
    <n v="109342"/>
    <s v="MATILDE SANTOS MARQUES"/>
    <s v="matildem03@ua.pt"/>
    <n v="8314"/>
    <s v="TP1"/>
    <s v="P9"/>
    <s v="O "/>
    <n v="15"/>
    <n v="3"/>
    <n v="2"/>
    <n v="1"/>
    <n v="1"/>
    <n v="3"/>
    <n v="10"/>
    <n v="2"/>
    <n v="9"/>
    <s v="Reprovado"/>
    <s v="MP"/>
    <n v="5"/>
    <s v="Piorou (-8 valores, -80%)"/>
  </r>
  <r>
    <n v="108430"/>
    <s v="MARTIM FILIPE TEIXEIRA DE SOUSA"/>
    <s v="martim.sousa@ua.pt"/>
    <n v="8314"/>
    <s v="TP2"/>
    <s v="P2"/>
    <s v="O "/>
    <n v="10"/>
    <n v="3"/>
    <n v="9"/>
    <n v="2"/>
    <n v="2"/>
    <n v="1"/>
    <n v="17"/>
    <n v="2"/>
    <n v="9.6666666666666661"/>
    <s v="Reprovado"/>
    <s v="MP"/>
    <n v="3"/>
    <s v="Piorou (-15 valores, -88,2%)"/>
  </r>
  <r>
    <n v="108816"/>
    <s v="DIOGO VIEIRA NOGUEIRA"/>
    <s v="diogonogueira@ua.pt"/>
    <n v="8314"/>
    <s v="TP1"/>
    <s v="P9"/>
    <s v="O "/>
    <n v="8"/>
    <n v="5"/>
    <n v="4"/>
    <n v="4"/>
    <n v="1"/>
    <n v="5"/>
    <n v="19"/>
    <n v="2"/>
    <n v="9.6666666666666661"/>
    <s v="Reprovado"/>
    <s v="MP"/>
    <n v="3"/>
    <s v="Piorou (-17 valores, -89,5%)"/>
  </r>
  <r>
    <n v="108842"/>
    <s v="EMA SOFIA PEÑAFUERTE DE ANDRADE E CASTRO"/>
    <s v="emasofiacastro@ua.pt"/>
    <n v="8314"/>
    <s v="TP1"/>
    <s v="P9"/>
    <s v="O "/>
    <n v="8"/>
    <n v="1"/>
    <n v="6"/>
    <n v="1"/>
    <n v="4"/>
    <n v="1"/>
    <n v="13"/>
    <n v="2"/>
    <n v="7.666666666666667"/>
    <s v="Reprovado"/>
    <s v="MP"/>
    <n v="9"/>
    <s v="Piorou (-11 valores, -84,6%)"/>
  </r>
  <r>
    <n v="103797"/>
    <s v="ANA CAROLINA MATOS NEIVA"/>
    <s v="carolina.neiva@ua.pt"/>
    <n v="8307"/>
    <s v="TP1"/>
    <s v="P9"/>
    <s v="O "/>
    <n v="12"/>
    <n v="1"/>
    <n v="3"/>
    <n v="3"/>
    <n v="1"/>
    <n v="2"/>
    <n v="10"/>
    <n v="2"/>
    <n v="8"/>
    <s v="Reprovado"/>
    <s v="MP"/>
    <n v="8"/>
    <s v="Piorou (-8 valores, -80%)"/>
  </r>
  <r>
    <n v="107777"/>
    <s v="PEDRO MIGUEL VALE LOUREIRO"/>
    <s v="pmvl@ua.pt"/>
    <n v="8314"/>
    <s v="TP2"/>
    <s v="P1"/>
    <s v="O "/>
    <n v="13"/>
    <n v="3"/>
    <n v="1"/>
    <n v="1"/>
    <n v="4"/>
    <n v="4"/>
    <n v="13"/>
    <n v="2"/>
    <n v="9.3333333333333339"/>
    <s v="Reprovado"/>
    <s v="MP"/>
    <n v="4"/>
    <s v="Piorou (-11 valores, -84,6%)"/>
  </r>
  <r>
    <n v="107717"/>
    <s v="MARGARIDA CARNEIRO RIBEIRO"/>
    <s v="margarida.ribeiro60@ua.pt"/>
    <n v="8314"/>
    <s v="TP1"/>
    <s v="P9"/>
    <s v="O "/>
    <n v="13"/>
    <n v="4"/>
    <n v="1"/>
    <n v="3"/>
    <n v="2"/>
    <n v="2"/>
    <n v="12"/>
    <n v="2"/>
    <n v="9"/>
    <s v="Reprovado"/>
    <s v="MP"/>
    <n v="5"/>
    <s v="Piorou (-10 valores, -83,3%)"/>
  </r>
  <r>
    <n v="103443"/>
    <s v="MARIA INÊS DOS SANTOS TAVARES"/>
    <s v="mariainesst@ua.pt"/>
    <n v="8307"/>
    <s v="TP2"/>
    <s v="P1"/>
    <s v="O "/>
    <n v="14"/>
    <n v="2"/>
    <n v="4"/>
    <n v="2"/>
    <n v="1"/>
    <n v="5"/>
    <n v="14"/>
    <n v="2"/>
    <n v="10"/>
    <s v="Aprovado"/>
    <m/>
    <s v="—"/>
    <s v="Piorou (-12 valores, -85,7%)"/>
  </r>
  <r>
    <n v="108950"/>
    <s v="SOFIA FERREIRA LUÍS PORTUGAL COSTA"/>
    <s v="sofia.fcosta@ua.pt"/>
    <n v="8314"/>
    <s v="TP1"/>
    <s v="P9"/>
    <s v="O "/>
    <n v="16"/>
    <n v="3"/>
    <n v="6"/>
    <n v="1"/>
    <n v="1"/>
    <n v="7"/>
    <n v="18"/>
    <n v="2"/>
    <n v="12"/>
    <s v="Aprovado"/>
    <m/>
    <s v="—"/>
    <s v="Piorou (-16 valores, -88,9%)"/>
  </r>
  <r>
    <n v="108079"/>
    <s v="MARIA JOÃO CURADO MENDES"/>
    <s v="mariajcmendes@ua.pt"/>
    <n v="8314"/>
    <s v="TP1"/>
    <s v="P9"/>
    <s v="O "/>
    <n v="12"/>
    <n v="2"/>
    <n v="1"/>
    <n v="1"/>
    <n v="2"/>
    <n v="1"/>
    <n v="7"/>
    <n v="2"/>
    <n v="7"/>
    <s v="Reprovado"/>
    <s v="MP"/>
    <n v="11"/>
    <s v="Piorou (-5 valores, -71,4%)"/>
  </r>
  <r>
    <n v="109163"/>
    <s v="RAFAELA PEREIRA DE ANDRADE"/>
    <s v="rpa04@ua.pt"/>
    <n v="8314"/>
    <s v="TP1"/>
    <s v="P9"/>
    <s v="O "/>
    <n v="9"/>
    <n v="4"/>
    <n v="2"/>
    <n v="4"/>
    <n v="1"/>
    <n v="7"/>
    <n v="18"/>
    <n v="2"/>
    <n v="9.6666666666666661"/>
    <s v="Reprovado"/>
    <s v="MP"/>
    <n v="3"/>
    <s v="Piorou (-16 valores, -88,9%)"/>
  </r>
  <r>
    <n v="110347"/>
    <s v="GABRIELA BRANDÃO E SOUSA RIBEIRO"/>
    <s v="gabriela.b.ribeiro@ua.pt"/>
    <n v="8314"/>
    <s v="TP1"/>
    <s v="P9"/>
    <s v="O "/>
    <n v="12"/>
    <n v="2"/>
    <n v="3"/>
    <n v="1"/>
    <n v="1"/>
    <n v="8"/>
    <n v="15"/>
    <n v="2"/>
    <n v="9.6666666666666661"/>
    <s v="Reprovado"/>
    <s v="MP"/>
    <n v="3"/>
    <s v="Piorou (-13 valores, -86,7%)"/>
  </r>
  <r>
    <n v="109373"/>
    <s v="ALEXANDRE GUIMARÃES VIEIRA DOS SANTOS"/>
    <s v="alexandre.vieira.santos@ua.pt"/>
    <n v="8314"/>
    <s v="TP1"/>
    <s v="P9"/>
    <s v="O "/>
    <n v="17"/>
    <n v="3"/>
    <n v="1"/>
    <n v="4"/>
    <n v="2"/>
    <n v="1"/>
    <n v="11"/>
    <n v="2"/>
    <n v="10"/>
    <s v="Aprovado"/>
    <m/>
    <s v="—"/>
    <s v="Piorou (-9 valores, -81,8%)"/>
  </r>
  <r>
    <n v="103203"/>
    <s v="RUI MIGUEL CASAIS E SILVA"/>
    <s v="rui.silva5@ua.pt"/>
    <n v="8295"/>
    <s v="TP1"/>
    <s v="P5"/>
    <s v="O "/>
    <n v="18"/>
    <n v="2"/>
    <n v="5"/>
    <n v="2"/>
    <n v="4"/>
    <n v="4"/>
    <n v="17"/>
    <n v="2"/>
    <n v="12.333333333333334"/>
    <s v="Aprovado"/>
    <m/>
    <s v="—"/>
    <s v="Piorou (-15 valores, -88,2%)"/>
  </r>
  <r>
    <n v="107335"/>
    <s v="RODRIGO AFONSO FERNANDES COELHO"/>
    <s v="rodrigoafc@ua.pt"/>
    <n v="8314"/>
    <s v="TP2"/>
    <s v="P3"/>
    <s v="O "/>
    <n v="18"/>
    <n v="4"/>
    <n v="1"/>
    <n v="1"/>
    <n v="6"/>
    <n v="1"/>
    <n v="13"/>
    <n v="2"/>
    <n v="11"/>
    <s v="Aprovado"/>
    <m/>
    <s v="—"/>
    <s v="Piorou (-11 valores, -84,6%)"/>
  </r>
  <r>
    <n v="93345"/>
    <s v="MARIA BEATRIZ DUARTE DA SILVA GARRIDO MOREIRA"/>
    <s v="beatrizdsgmoreira@ua.pt"/>
    <n v="8250"/>
    <s v="TP2"/>
    <s v="P3"/>
    <s v="O "/>
    <n v="16"/>
    <n v="7"/>
    <n v="5"/>
    <n v="3"/>
    <n v="1"/>
    <n v="2"/>
    <n v="18"/>
    <n v="2"/>
    <n v="12"/>
    <s v="Aprovado"/>
    <m/>
    <s v="—"/>
    <s v="Piorou (-16 valores, -88,9%)"/>
  </r>
  <r>
    <n v="103409"/>
    <s v="BENEDITA TEIXEIRA RIBEIRO"/>
    <s v="beneditar@ua.pt"/>
    <n v="8307"/>
    <s v="TP1"/>
    <s v="P5"/>
    <s v="O "/>
    <n v="9"/>
    <n v="2"/>
    <n v="3"/>
    <n v="3"/>
    <n v="1"/>
    <n v="3"/>
    <n v="12"/>
    <n v="2"/>
    <n v="7.666666666666667"/>
    <s v="Reprovado"/>
    <s v="MP"/>
    <n v="9"/>
    <s v="Piorou (-10 valores, -83,3%)"/>
  </r>
  <r>
    <n v="108105"/>
    <s v="LUÍS TADEU TAVEIRA MACHADO"/>
    <s v="luismachado03@ua.pt"/>
    <n v="8314"/>
    <s v="TP1"/>
    <s v="P5"/>
    <s v="O "/>
    <n v="9"/>
    <n v="3"/>
    <n v="3"/>
    <n v="8"/>
    <n v="3"/>
    <n v="2"/>
    <n v="19"/>
    <n v="2"/>
    <n v="10"/>
    <s v="Aprovado"/>
    <m/>
    <s v="—"/>
    <s v="Piorou (-17 valores, -89,5%)"/>
  </r>
  <r>
    <n v="107848"/>
    <s v="CAROLINA MÀXIMO CORREIA"/>
    <s v="carolinamaximocorreia@ua.pt"/>
    <n v="8314"/>
    <s v="TP1"/>
    <s v="P5"/>
    <s v="O "/>
    <n v="15"/>
    <n v="2"/>
    <n v="1"/>
    <n v="7"/>
    <n v="3"/>
    <n v="2"/>
    <n v="15"/>
    <n v="2"/>
    <n v="10.666666666666666"/>
    <s v="Aprovado"/>
    <m/>
    <s v="—"/>
    <s v="Piorou (-13 valores, -86,7%)"/>
  </r>
  <r>
    <n v="107318"/>
    <s v="FRANCISCO DO CARMO GUEDES MAGALHÃES TAVARES"/>
    <s v="franciscotavares@ua.pt"/>
    <n v="8314"/>
    <s v="TP2"/>
    <s v="P3"/>
    <s v="O "/>
    <n v="17"/>
    <n v="1"/>
    <n v="1"/>
    <n v="1"/>
    <n v="2"/>
    <n v="4"/>
    <n v="9"/>
    <n v="2"/>
    <n v="9.3333333333333339"/>
    <s v="Reprovado"/>
    <s v="MP"/>
    <n v="4"/>
    <s v="Piorou (-7 valores, -77,8%)"/>
  </r>
  <r>
    <n v="107611"/>
    <s v="JOÃO TAVARES FERREIRA"/>
    <s v="joao.tferreira@ua.pt"/>
    <n v="8314"/>
    <s v="TP2"/>
    <s v="P3"/>
    <s v="O "/>
    <n v="17"/>
    <n v="2"/>
    <n v="1"/>
    <n v="3"/>
    <n v="4"/>
    <n v="8"/>
    <n v="18"/>
    <n v="2"/>
    <n v="12.333333333333334"/>
    <s v="Aprovado"/>
    <m/>
    <s v="—"/>
    <s v="Piorou (-16 valores, -88,9%)"/>
  </r>
  <r>
    <n v="108845"/>
    <s v="SOFIA RAQUEL PINHEIRO MOREIRA"/>
    <s v="sofia.r.p.m@ua.pt"/>
    <n v="8314"/>
    <s v="TP1"/>
    <s v="P5"/>
    <s v="O "/>
    <n v="11"/>
    <n v="2"/>
    <n v="1"/>
    <n v="1"/>
    <n v="5"/>
    <n v="1"/>
    <n v="10"/>
    <n v="2"/>
    <n v="7.666666666666667"/>
    <s v="Reprovado"/>
    <s v="MP"/>
    <n v="9"/>
    <s v="Piorou (-8 valores, -80%)"/>
  </r>
  <r>
    <n v="108098"/>
    <s v="FILIPE MANUEL COUTINHO SAMBENTO"/>
    <s v="filipesambento@ua.pt"/>
    <n v="8314"/>
    <s v="TP1"/>
    <s v="P5"/>
    <s v="O "/>
    <n v="14"/>
    <n v="2"/>
    <n v="2"/>
    <n v="2"/>
    <n v="1"/>
    <n v="9"/>
    <n v="16"/>
    <n v="2"/>
    <n v="10.666666666666666"/>
    <s v="Aprovado"/>
    <m/>
    <s v="—"/>
    <s v="Piorou (-14 valores, -87,5%)"/>
  </r>
  <r>
    <n v="108723"/>
    <s v="CARLOS FILIPE FERNANDES AFONSO"/>
    <s v="carlos.f.f.afonso@ua.pt"/>
    <n v="8313"/>
    <s v="TP2"/>
    <s v="P3"/>
    <s v="O "/>
    <n v="15"/>
    <n v="1"/>
    <n v="1"/>
    <n v="3"/>
    <n v="6"/>
    <n v="3"/>
    <n v="14"/>
    <n v="2"/>
    <n v="10.333333333333334"/>
    <s v="Aprovado"/>
    <m/>
    <s v="—"/>
    <s v="Piorou (-12 valores, -85,7%)"/>
  </r>
  <r>
    <n v="103757"/>
    <s v="BÁRBARA SOFIA GONÇALVES OLIVEIRA"/>
    <s v="barbaraoliveira02@ua.pt"/>
    <n v="8307"/>
    <s v="TP1"/>
    <s v="P5"/>
    <s v="O "/>
    <n v="10"/>
    <n v="3"/>
    <n v="5"/>
    <n v="2"/>
    <n v="1"/>
    <n v="1"/>
    <n v="12"/>
    <n v="2"/>
    <n v="8"/>
    <s v="Reprovado"/>
    <s v="MP"/>
    <n v="8"/>
    <s v="Piorou (-10 valores, -83,3%)"/>
  </r>
  <r>
    <n v="107396"/>
    <s v="RITA BELO MOURA ALBERTO"/>
    <s v="rita.alberto@ua.pt"/>
    <n v="8314"/>
    <s v="TP1"/>
    <s v="P5"/>
    <s v="O "/>
    <n v="8"/>
    <n v="2"/>
    <n v="3"/>
    <n v="2"/>
    <n v="2"/>
    <n v="1"/>
    <n v="10"/>
    <n v="2"/>
    <n v="6.666666666666667"/>
    <s v="Reprovado"/>
    <s v="MP"/>
    <n v="12"/>
    <s v="Piorou (-8 valores, -80%)"/>
  </r>
  <r>
    <n v="108675"/>
    <s v="CLÁUDIA MAGALHÃES FERNANDES"/>
    <s v="claudia.magalhaes@ua.pt"/>
    <n v="8314"/>
    <s v="TP1"/>
    <s v="P5"/>
    <s v="O "/>
    <n v="11"/>
    <n v="3"/>
    <n v="3"/>
    <n v="2"/>
    <n v="1"/>
    <n v="2"/>
    <n v="11"/>
    <n v="2"/>
    <n v="8"/>
    <s v="Reprovado"/>
    <s v="MP"/>
    <n v="8"/>
    <s v="Piorou (-9 valores, -81,8%)"/>
  </r>
  <r>
    <n v="107584"/>
    <s v="BEATRIZ NEVES PARENTE VIEIRA PINTO"/>
    <s v="beatrizparentepinto03@ua.pt"/>
    <n v="8314"/>
    <s v="TP2"/>
    <s v="P3"/>
    <s v="O "/>
    <n v="13"/>
    <n v="2"/>
    <n v="2"/>
    <n v="4"/>
    <n v="1"/>
    <n v="3"/>
    <n v="12"/>
    <n v="2"/>
    <n v="9"/>
    <s v="Reprovado"/>
    <s v="MP"/>
    <n v="5"/>
    <s v="Piorou (-10 valores, -83,3%)"/>
  </r>
  <r>
    <n v="108329"/>
    <s v="ANA CAROLINA DA SILVA CARDOSO"/>
    <s v="carolina.cardoso@ua.pt"/>
    <n v="8314"/>
    <s v="TP2"/>
    <s v="P2"/>
    <s v="O "/>
    <n v="17"/>
    <n v="2"/>
    <n v="1"/>
    <n v="4"/>
    <n v="2"/>
    <n v="1"/>
    <n v="10"/>
    <n v="2"/>
    <n v="9.6666666666666661"/>
    <s v="Reprovado"/>
    <s v="MP"/>
    <n v="3"/>
    <s v="Piorou (-8 valores, -80%)"/>
  </r>
  <r>
    <n v="107874"/>
    <s v="ANA RITA CAMBAO ROQUE VIEIRA"/>
    <s v="rita.crvieira@ua.pt"/>
    <n v="8314"/>
    <s v="TP1"/>
    <s v="P5"/>
    <s v="O "/>
    <n v="18"/>
    <n v="2"/>
    <n v="1"/>
    <n v="2"/>
    <n v="3"/>
    <n v="2"/>
    <n v="10"/>
    <n v="2"/>
    <n v="10"/>
    <s v="Aprovado"/>
    <m/>
    <s v="—"/>
    <s v="Piorou (-8 valores, -80%)"/>
  </r>
  <r>
    <n v="107517"/>
    <s v="ADRIANA DA SILVA OLIVEIRA"/>
    <s v="adrianaoliveira@ua.pt"/>
    <n v="8314"/>
    <s v="TP1"/>
    <s v="P5"/>
    <s v="O "/>
    <n v="12"/>
    <n v="8"/>
    <n v="2"/>
    <n v="1"/>
    <n v="1"/>
    <n v="2"/>
    <n v="14"/>
    <n v="2"/>
    <n v="9.3333333333333339"/>
    <s v="Reprovado"/>
    <s v="MP"/>
    <n v="4"/>
    <s v="Piorou (-12 valores, -85,7%)"/>
  </r>
  <r>
    <n v="108513"/>
    <s v="BEATRIZ MARINHO DA SILVA RIBEIRO COELHO"/>
    <s v="beatrizcoelho@ua.pt"/>
    <n v="8314"/>
    <s v="TP2"/>
    <s v="P3"/>
    <s v="O "/>
    <n v="12"/>
    <n v="1"/>
    <n v="1"/>
    <n v="7"/>
    <n v="1"/>
    <n v="6"/>
    <n v="16"/>
    <n v="2"/>
    <n v="10"/>
    <s v="Aprovado"/>
    <m/>
    <s v="—"/>
    <s v="Piorou (-14 valores, -87,5%)"/>
  </r>
  <r>
    <n v="104342"/>
    <s v="BERNARDO CHEN YE"/>
    <s v="bernardoye@ua.pt"/>
    <n v="8307"/>
    <s v="TP1"/>
    <s v="P5"/>
    <s v="O "/>
    <n v="14"/>
    <n v="2"/>
    <n v="1"/>
    <n v="8"/>
    <n v="2"/>
    <n v="3"/>
    <n v="16"/>
    <n v="2"/>
    <n v="10.666666666666666"/>
    <s v="Aprovado"/>
    <m/>
    <s v="—"/>
    <s v="Piorou (-14 valores, -87,5%)"/>
  </r>
  <r>
    <n v="108752"/>
    <s v="PEDRO MIGUEL GOMES MARTINS"/>
    <s v="pedromgmartins@ua.pt"/>
    <n v="8314"/>
    <s v="TP1"/>
    <s v="P5"/>
    <s v="O "/>
    <n v="12"/>
    <n v="8"/>
    <n v="1"/>
    <n v="2"/>
    <n v="3"/>
    <n v="2"/>
    <n v="16"/>
    <n v="2"/>
    <n v="10"/>
    <s v="Aprovado"/>
    <m/>
    <s v="—"/>
    <s v="Piorou (-14 valores, -87,5%)"/>
  </r>
  <r>
    <n v="103712"/>
    <s v="MARIANA FERREIRA PINTO"/>
    <s v="marianafpinto@ua.pt"/>
    <n v="8264"/>
    <s v="TP1"/>
    <s v="P5"/>
    <s v="O "/>
    <n v="12"/>
    <n v="6"/>
    <n v="3"/>
    <n v="2"/>
    <n v="1"/>
    <n v="2"/>
    <n v="14"/>
    <n v="2"/>
    <n v="9.3333333333333339"/>
    <s v="Reprovado"/>
    <s v="MP"/>
    <n v="4"/>
    <s v="Piorou (-12 valores, -85,7%)"/>
  </r>
  <r>
    <n v="108849"/>
    <s v="MIGUEL CARVALHO GOUVEIA MEXEDO"/>
    <s v="miguelmexedo03@ua.pt"/>
    <n v="8314"/>
    <s v="TP1"/>
    <s v="P5"/>
    <s v="TP"/>
    <n v="11"/>
    <n v="1"/>
    <n v="1"/>
    <n v="2"/>
    <n v="2"/>
    <n v="4"/>
    <n v="10"/>
    <n v="2"/>
    <n v="7.666666666666667"/>
    <s v="Reprovado"/>
    <s v="MP"/>
    <n v="9"/>
    <s v="Piorou (-8 valores, -80%)"/>
  </r>
  <r>
    <n v="108868"/>
    <s v="XAVIER VIEIRA PINTO"/>
    <s v="xavier.pinto@ua.pt"/>
    <n v="8314"/>
    <s v="TP1"/>
    <s v="P6"/>
    <s v="O "/>
    <n v="12"/>
    <n v="2"/>
    <n v="2"/>
    <n v="1"/>
    <n v="11"/>
    <n v="1"/>
    <n v="17"/>
    <n v="2"/>
    <n v="10.333333333333334"/>
    <s v="Aprovado"/>
    <m/>
    <s v="—"/>
    <s v="Piorou (-15 valores, -88,2%)"/>
  </r>
  <r>
    <n v="102380"/>
    <s v="MARIA INÊS SOUSA SÁ"/>
    <s v="maria.sa@ua.pt"/>
    <n v="8220"/>
    <s v="TP1"/>
    <s v="P6"/>
    <s v="O "/>
    <n v="12"/>
    <n v="2"/>
    <n v="2"/>
    <n v="1"/>
    <n v="3"/>
    <n v="1"/>
    <n v="9"/>
    <n v="2"/>
    <n v="7.666666666666667"/>
    <s v="Reprovado"/>
    <s v="MP"/>
    <n v="9"/>
    <s v="Piorou (-7 valores, -77,8%)"/>
  </r>
  <r>
    <n v="107265"/>
    <s v="HUGO ALEXANDRE PINHEIRO MALCATO"/>
    <s v="hapm@ua.pt"/>
    <n v="8314"/>
    <s v="TP1"/>
    <s v="P6"/>
    <s v="O "/>
    <n v="16"/>
    <n v="4"/>
    <n v="4"/>
    <n v="2"/>
    <n v="2"/>
    <n v="7"/>
    <n v="19"/>
    <n v="2"/>
    <n v="12.333333333333334"/>
    <s v="Aprovado"/>
    <m/>
    <s v="—"/>
    <s v="Piorou (-17 valores, -89,5%)"/>
  </r>
  <r>
    <n v="108280"/>
    <s v="FRANCISCO LUIS MOTA MARQUES DA SILVA PICOTO"/>
    <s v="picoto.francisco@ua.pt"/>
    <n v="8314"/>
    <s v="TP2"/>
    <s v="P3"/>
    <s v="O "/>
    <n v="12"/>
    <n v="1"/>
    <n v="1"/>
    <n v="4"/>
    <n v="1"/>
    <n v="3"/>
    <n v="10"/>
    <n v="2"/>
    <n v="8"/>
    <s v="Reprovado"/>
    <s v="MP"/>
    <n v="8"/>
    <s v="Piorou (-8 valores, -80%)"/>
  </r>
  <r>
    <n v="97610"/>
    <s v="PEDRO MIGUEL GASPAR MURTEIRA"/>
    <s v="pedro.murteira@ua.pt"/>
    <n v="8307"/>
    <s v="TP1"/>
    <s v="P6"/>
    <s v="O "/>
    <n v="11"/>
    <n v="3"/>
    <n v="1"/>
    <n v="8"/>
    <n v="2"/>
    <n v="2"/>
    <n v="16"/>
    <n v="2"/>
    <n v="9.6666666666666661"/>
    <s v="Reprovado"/>
    <s v="MP"/>
    <n v="3"/>
    <s v="Piorou (-14 valores, -87,5%)"/>
  </r>
  <r>
    <n v="93316"/>
    <s v="DIOGO ANDRÉ SILVA SIMÕES ALMEIDA"/>
    <s v="dassalmeida@ua.pt"/>
    <n v="8258"/>
    <s v="TP2"/>
    <s v="P3"/>
    <s v="O "/>
    <n v="18"/>
    <n v="2"/>
    <n v="6"/>
    <n v="4"/>
    <n v="4"/>
    <n v="1"/>
    <n v="17"/>
    <n v="2"/>
    <n v="12.333333333333334"/>
    <s v="Aprovado"/>
    <m/>
    <s v="—"/>
    <s v="Piorou (-15 valores, -88,2%)"/>
  </r>
  <r>
    <n v="110331"/>
    <s v="FERNANDO MIGUEL PINTO ESPERANÇA"/>
    <s v="fmiguelesperanca@ua.pt"/>
    <n v="8220"/>
    <s v="TP1"/>
    <s v="P6"/>
    <s v="O "/>
    <n v="15"/>
    <n v="3"/>
    <n v="2"/>
    <n v="5"/>
    <n v="7"/>
    <n v="1"/>
    <n v="18"/>
    <n v="2"/>
    <n v="11.666666666666666"/>
    <s v="Aprovado"/>
    <m/>
    <s v="—"/>
    <s v="Piorou (-16 valores, -88,9%)"/>
  </r>
  <r>
    <n v="104807"/>
    <s v="TIAGO JOSÉ BORGES QUINTAS"/>
    <s v="tquintas@ua.pt"/>
    <n v="9179"/>
    <s v="TP1"/>
    <s v="P6"/>
    <s v="O "/>
    <n v="13"/>
    <n v="4"/>
    <n v="2"/>
    <n v="3"/>
    <n v="2"/>
    <n v="3"/>
    <n v="14"/>
    <n v="2"/>
    <n v="9.6666666666666661"/>
    <s v="Reprovado"/>
    <s v="MP"/>
    <n v="3"/>
    <s v="Piorou (-12 valores, -85,7%)"/>
  </r>
  <r>
    <n v="108679"/>
    <s v="PEDRO MIGUEL GUEDES FERREIRA"/>
    <s v="pedromgf@ua.pt"/>
    <n v="8220"/>
    <s v="TP1"/>
    <s v="P6"/>
    <s v="O "/>
    <n v="13"/>
    <n v="1"/>
    <n v="1"/>
    <n v="4"/>
    <n v="5"/>
    <n v="3"/>
    <n v="14"/>
    <n v="2"/>
    <n v="9.6666666666666661"/>
    <s v="Reprovado"/>
    <s v="MP"/>
    <n v="3"/>
    <s v="Piorou (-12 valores, -85,7%)"/>
  </r>
  <r>
    <n v="103028"/>
    <s v="PEDRO MIGUEL SILVA MENDES"/>
    <s v="pmiguelsilvamendes@ua.pt"/>
    <n v="8240"/>
    <s v="TP1"/>
    <s v="P6"/>
    <s v="O "/>
    <n v="8"/>
    <n v="3"/>
    <n v="2"/>
    <n v="2"/>
    <n v="1"/>
    <n v="4"/>
    <n v="12"/>
    <n v="2"/>
    <n v="7.333333333333333"/>
    <s v="Reprovado"/>
    <s v="MP"/>
    <n v="10"/>
    <s v="Piorou (-10 valores, -83,3%)"/>
  </r>
  <r>
    <n v="105114"/>
    <s v="SANDRA MOREIRA SANTOS"/>
    <s v="san.santos@ua.pt"/>
    <n v="8220"/>
    <s v="TP1"/>
    <s v="P6"/>
    <s v="O "/>
    <n v="9"/>
    <n v="1"/>
    <n v="2"/>
    <n v="1"/>
    <n v="2"/>
    <n v="2"/>
    <n v="8"/>
    <n v="2"/>
    <n v="6.333333333333333"/>
    <s v="Reprovado"/>
    <s v="MP"/>
    <n v="13"/>
    <s v="Piorou (-6 valores, -75%)"/>
  </r>
  <r>
    <n v="108800"/>
    <s v="MARIA CAROLINA CRESPO MODESTO FERREIRA"/>
    <s v="ferreira.carol@ua.pt"/>
    <n v="8305"/>
    <s v="TP1"/>
    <s v="P6"/>
    <s v="O "/>
    <n v="13"/>
    <n v="5"/>
    <n v="5"/>
    <n v="1"/>
    <n v="1"/>
    <n v="7"/>
    <n v="19"/>
    <n v="2"/>
    <n v="11.333333333333334"/>
    <s v="Aprovado"/>
    <m/>
    <s v="—"/>
    <s v="Piorou (-17 valores, -89,5%)"/>
  </r>
  <r>
    <n v="108050"/>
    <s v="MARIANA PINHO RIBEIRO"/>
    <s v="mariana.pribeiro@ua.pt"/>
    <n v="8220"/>
    <s v="TP1"/>
    <s v="P6"/>
    <s v="O "/>
    <n v="17"/>
    <n v="4"/>
    <n v="1"/>
    <n v="1"/>
    <n v="1"/>
    <n v="2"/>
    <n v="9"/>
    <n v="2"/>
    <n v="9.3333333333333339"/>
    <s v="Reprovado"/>
    <s v="MP"/>
    <n v="4"/>
    <s v="Piorou (-7 valores, -77,8%)"/>
  </r>
  <r>
    <n v="105491"/>
    <s v="JOANA RAQUEL HENRIQUES FARIA"/>
    <s v="joanafaria@ua.pt"/>
    <n v="8220"/>
    <s v="TP1"/>
    <s v="P6"/>
    <s v="O "/>
    <n v="11"/>
    <n v="3"/>
    <n v="2"/>
    <n v="1"/>
    <n v="2"/>
    <n v="1"/>
    <n v="9"/>
    <n v="2"/>
    <n v="7.333333333333333"/>
    <s v="Reprovado"/>
    <s v="MP"/>
    <n v="10"/>
    <s v="Piorou (-7 valores, -77,8%)"/>
  </r>
  <r>
    <n v="102976"/>
    <s v="JÉSSICA SOUSA COSTA"/>
    <s v="jessi.costa@ua.pt"/>
    <n v="8220"/>
    <s v="TP1"/>
    <s v="P6"/>
    <s v="O "/>
    <n v="8"/>
    <n v="8"/>
    <n v="2"/>
    <n v="2"/>
    <n v="2"/>
    <n v="1"/>
    <n v="15"/>
    <n v="2"/>
    <n v="8.3333333333333339"/>
    <s v="Reprovado"/>
    <s v="MP"/>
    <n v="7"/>
    <s v="Piorou (-13 valores, -86,7%)"/>
  </r>
  <r>
    <n v="108826"/>
    <s v="JOSÉ CARLOS FONSECA NUNES"/>
    <s v="jcnunes@ua.pt"/>
    <n v="8220"/>
    <s v="TP1"/>
    <s v="P6"/>
    <s v="O "/>
    <n v="13"/>
    <n v="4"/>
    <n v="1"/>
    <n v="1"/>
    <n v="1"/>
    <n v="1"/>
    <n v="8"/>
    <n v="2"/>
    <n v="7.666666666666667"/>
    <s v="Reprovado"/>
    <s v="MP"/>
    <n v="9"/>
    <s v="Piorou (-6 valores, -75%)"/>
  </r>
  <r>
    <n v="108436"/>
    <s v="INÊS DE AZEVEDO FILIPE"/>
    <s v="ines.filipe@ua.pt"/>
    <n v="8220"/>
    <s v="TP1"/>
    <s v="P6"/>
    <s v="O "/>
    <n v="8"/>
    <n v="6"/>
    <n v="1"/>
    <n v="3"/>
    <n v="1"/>
    <n v="1"/>
    <n v="12"/>
    <n v="2"/>
    <n v="7.333333333333333"/>
    <s v="Reprovado"/>
    <s v="MP"/>
    <n v="10"/>
    <s v="Piorou (-10 valores, -83,3%)"/>
  </r>
  <r>
    <n v="107233"/>
    <s v="DIOGO MIGUEL TABORDA BARATA"/>
    <s v="diogo.barata@ua.pt"/>
    <n v="8220"/>
    <s v="TP1"/>
    <s v="P7"/>
    <s v="O "/>
    <n v="9"/>
    <n v="1"/>
    <n v="3"/>
    <n v="1"/>
    <n v="2"/>
    <n v="8"/>
    <n v="15"/>
    <n v="2"/>
    <n v="8.6666666666666661"/>
    <s v="Reprovado"/>
    <s v="MP"/>
    <n v="6"/>
    <s v="Piorou (-13 valores, -86,7%)"/>
  </r>
  <r>
    <n v="103167"/>
    <s v="RAQUEL ROMÃO SOARES PINTO"/>
    <s v="raquelrpinto@ua.pt"/>
    <n v="8220"/>
    <s v="TP1"/>
    <s v="P7"/>
    <s v="O "/>
    <n v="10"/>
    <n v="6"/>
    <n v="1"/>
    <n v="1"/>
    <n v="2"/>
    <n v="1"/>
    <n v="11"/>
    <n v="2"/>
    <n v="7.666666666666667"/>
    <s v="Reprovado"/>
    <s v="MP"/>
    <n v="9"/>
    <s v="Piorou (-9 valores, -81,8%)"/>
  </r>
  <r>
    <n v="108760"/>
    <s v="JÚLIA SOUSA GOULART"/>
    <s v="juliagoulart@ua.pt"/>
    <n v="8220"/>
    <s v="TP2"/>
    <s v="P3"/>
    <s v="O "/>
    <n v="12"/>
    <n v="1"/>
    <n v="1"/>
    <n v="3"/>
    <n v="1"/>
    <n v="1"/>
    <n v="7"/>
    <n v="2"/>
    <n v="7"/>
    <s v="Reprovado"/>
    <s v="MP"/>
    <n v="11"/>
    <s v="Piorou (-5 valores, -71,4%)"/>
  </r>
  <r>
    <n v="103326"/>
    <s v="EMA RENATA DA ROCHA ALVES"/>
    <s v="renataalves@ua.pt"/>
    <n v="8220"/>
    <s v="TP2"/>
    <s v="P3"/>
    <s v="O "/>
    <n v="10"/>
    <n v="3"/>
    <n v="2"/>
    <n v="3"/>
    <n v="8"/>
    <n v="2"/>
    <n v="18"/>
    <n v="2"/>
    <n v="10"/>
    <s v="Aprovado"/>
    <m/>
    <s v="—"/>
    <s v="Piorou (-16 valores, -88,9%)"/>
  </r>
  <r>
    <n v="109152"/>
    <s v="ÍRIS GARCIA FONSECA"/>
    <s v="irisfonseca@ua.pt"/>
    <n v="8220"/>
    <s v="TP1"/>
    <s v="P7"/>
    <s v="O "/>
    <n v="8"/>
    <n v="1"/>
    <n v="2"/>
    <n v="2"/>
    <n v="3"/>
    <n v="1"/>
    <n v="9"/>
    <n v="2"/>
    <n v="6.333333333333333"/>
    <s v="Reprovado"/>
    <s v="MP"/>
    <n v="13"/>
    <s v="Piorou (-7 valores, -77,8%)"/>
  </r>
  <r>
    <n v="107895"/>
    <s v="JOÃO PEDRO DOS SANTOS MORAIS"/>
    <s v="joaomorais9@ua.pt"/>
    <n v="8220"/>
    <s v="TP2"/>
    <s v="P2"/>
    <s v="O "/>
    <n v="11"/>
    <n v="1"/>
    <n v="1"/>
    <n v="2"/>
    <n v="3"/>
    <n v="5"/>
    <n v="12"/>
    <n v="2"/>
    <n v="8.3333333333333339"/>
    <s v="Reprovado"/>
    <s v="MP"/>
    <n v="7"/>
    <s v="Piorou (-10 valores, -83,3%)"/>
  </r>
  <r>
    <n v="107267"/>
    <s v="RODRIGO LEITE GOMES NOGUEIRA"/>
    <s v="rlgn@ua.pt"/>
    <n v="8220"/>
    <s v="TP1"/>
    <s v="P7"/>
    <s v="O "/>
    <n v="10"/>
    <n v="4"/>
    <n v="1"/>
    <n v="4"/>
    <n v="1"/>
    <n v="2"/>
    <n v="12"/>
    <n v="2"/>
    <n v="8"/>
    <s v="Reprovado"/>
    <s v="MP"/>
    <n v="8"/>
    <s v="Piorou (-10 valores, -83,3%)"/>
  </r>
  <r>
    <n v="103309"/>
    <s v="JULIANA ALMEIDA CASTANHEIRA"/>
    <s v="juliana.ac@ua.pt"/>
    <n v="8220"/>
    <s v="TP2"/>
    <s v="P2"/>
    <s v="O "/>
    <n v="18"/>
    <n v="1"/>
    <n v="1"/>
    <n v="2"/>
    <n v="1"/>
    <n v="2"/>
    <n v="7"/>
    <n v="2"/>
    <n v="9"/>
    <s v="Reprovado"/>
    <s v="MP"/>
    <n v="5"/>
    <s v="Piorou (-5 valores, -71,4%)"/>
  </r>
  <r>
    <n v="99440"/>
    <s v="MARTA DUARTE LUZES"/>
    <s v="martaduarteluzes@ua.pt"/>
    <n v="8220"/>
    <s v="TP1"/>
    <s v="P7"/>
    <s v="O "/>
    <n v="8"/>
    <n v="1"/>
    <n v="2"/>
    <n v="1"/>
    <n v="1"/>
    <n v="10"/>
    <n v="15"/>
    <n v="2"/>
    <n v="8.3333333333333339"/>
    <s v="Reprovado"/>
    <s v="MP"/>
    <n v="7"/>
    <s v="Piorou (-13 valores, -86,7%)"/>
  </r>
  <r>
    <n v="93274"/>
    <s v="DIOGO FERNANDO DE OLIVEIRA CARDOSO"/>
    <s v="diogocardoso99@ua.pt"/>
    <n v="8258"/>
    <s v="TP1"/>
    <s v="P7"/>
    <s v="O "/>
    <n v="15"/>
    <n v="2"/>
    <n v="1"/>
    <n v="2"/>
    <n v="1"/>
    <n v="2"/>
    <n v="8"/>
    <n v="2"/>
    <n v="8.3333333333333339"/>
    <s v="Reprovado"/>
    <s v="MP"/>
    <n v="7"/>
    <s v="Piorou (-6 valores, -75%)"/>
  </r>
  <r>
    <n v="102859"/>
    <s v="VASCO GABRIEL MARTINS LOPES"/>
    <s v="vasco.lopes@ua.pt"/>
    <n v="8220"/>
    <s v="TP1"/>
    <s v="P7"/>
    <s v="O "/>
    <n v="13"/>
    <n v="1"/>
    <n v="2"/>
    <n v="2"/>
    <n v="1"/>
    <n v="2"/>
    <n v="8"/>
    <n v="2"/>
    <n v="7.666666666666667"/>
    <s v="Reprovado"/>
    <s v="MP"/>
    <n v="9"/>
    <s v="Piorou (-6 valores, -75%)"/>
  </r>
  <r>
    <n v="104088"/>
    <s v="LÉNIA RAQUEL AVEIRO FERREIRA"/>
    <s v="leniaferreira01@ua.pt"/>
    <n v="8220"/>
    <s v="TP1"/>
    <s v="P7"/>
    <s v="O "/>
    <n v="17"/>
    <n v="2"/>
    <n v="1"/>
    <n v="1"/>
    <n v="1"/>
    <n v="2"/>
    <n v="7"/>
    <n v="2"/>
    <n v="8.6666666666666661"/>
    <s v="Reprovado"/>
    <s v="MP"/>
    <n v="6"/>
    <s v="Piorou (-5 valores, -71,4%)"/>
  </r>
  <r>
    <n v="102633"/>
    <s v="ANA FILIPA DURÃO LIMA"/>
    <s v="anafdlima@ua.pt"/>
    <n v="8220"/>
    <s v="TP2"/>
    <s v="P3"/>
    <s v="O "/>
    <n v="8"/>
    <n v="1"/>
    <n v="1"/>
    <n v="2"/>
    <n v="3"/>
    <n v="3"/>
    <n v="10"/>
    <n v="2"/>
    <n v="6.666666666666667"/>
    <s v="Reprovado"/>
    <s v="MP"/>
    <n v="12"/>
    <s v="Piorou (-8 valores, -80%)"/>
  </r>
  <r>
    <n v="108159"/>
    <s v="ANA BEATRIZ FERREIRA BATISTA"/>
    <s v="ana.b.batista@ua.pt"/>
    <n v="8220"/>
    <s v="TP1"/>
    <s v="P7"/>
    <s v="O "/>
    <n v="18"/>
    <n v="7"/>
    <n v="1"/>
    <n v="2"/>
    <n v="4"/>
    <n v="1"/>
    <n v="15"/>
    <n v="2"/>
    <n v="11.666666666666666"/>
    <s v="Aprovado"/>
    <m/>
    <s v="—"/>
    <s v="Piorou (-13 valores, -86,7%)"/>
  </r>
  <r>
    <n v="108461"/>
    <s v="ALEXANDRE PEREIRA DE ALMEIDA"/>
    <s v="alex.almeida@ua.pt"/>
    <n v="8220"/>
    <s v="TP2"/>
    <s v="P3"/>
    <s v="O "/>
    <n v="10"/>
    <n v="3"/>
    <n v="7"/>
    <n v="1"/>
    <n v="1"/>
    <n v="6"/>
    <n v="18"/>
    <n v="2"/>
    <n v="10"/>
    <s v="Aprovado"/>
    <m/>
    <s v="—"/>
    <s v="Piorou (-16 valores, -88,9%)"/>
  </r>
  <r>
    <n v="107635"/>
    <s v="ANA MARGARIDA ALMEIDA SANTOS"/>
    <s v="anmargaridaa@ua.pt"/>
    <n v="8220"/>
    <s v="TP2"/>
    <s v="P3"/>
    <s v="O "/>
    <n v="18"/>
    <n v="4"/>
    <n v="5"/>
    <n v="1"/>
    <n v="3"/>
    <n v="2"/>
    <n v="15"/>
    <n v="2"/>
    <n v="11.666666666666666"/>
    <s v="Aprovado"/>
    <m/>
    <s v="—"/>
    <s v="Piorou (-13 valores, -86,7%)"/>
  </r>
  <r>
    <n v="102716"/>
    <s v="MARIANA TEIXEIRA FERREIRA"/>
    <s v="marianatferreira@ua.pt"/>
    <n v="8220"/>
    <s v="TP1"/>
    <s v="P7"/>
    <s v="O "/>
    <n v="15"/>
    <n v="1"/>
    <n v="1"/>
    <n v="3"/>
    <n v="2"/>
    <n v="4"/>
    <n v="11"/>
    <n v="2"/>
    <n v="9.3333333333333339"/>
    <s v="Reprovado"/>
    <s v="MP"/>
    <n v="4"/>
    <s v="Piorou (-9 valores, -81,8%)"/>
  </r>
  <r>
    <n v="107347"/>
    <s v="LEONOR SILVA NOGUEIRA"/>
    <s v="leonor.nog@ua.pt"/>
    <n v="8220"/>
    <s v="TP2"/>
    <s v="P3"/>
    <s v="O "/>
    <n v="10"/>
    <n v="1"/>
    <n v="1"/>
    <n v="4"/>
    <n v="3"/>
    <n v="2"/>
    <n v="11"/>
    <n v="2"/>
    <n v="7.666666666666667"/>
    <s v="Reprovado"/>
    <s v="MP"/>
    <n v="9"/>
    <s v="Piorou (-9 valores, -81,8%)"/>
  </r>
  <r>
    <n v="110409"/>
    <s v="DANIELA FILIPA SOARES FORMIGO"/>
    <s v="daniela.fil@ua.pt"/>
    <n v="8220"/>
    <s v="TP2"/>
    <s v="P1a"/>
    <s v="O "/>
    <n v="17"/>
    <n v="1"/>
    <n v="1"/>
    <n v="1"/>
    <n v="1"/>
    <n v="3"/>
    <n v="7"/>
    <n v="2"/>
    <n v="8.6666666666666661"/>
    <s v="Reprovado"/>
    <s v="MP"/>
    <n v="6"/>
    <s v="Piorou (-5 valores, -71,4%)"/>
  </r>
  <r>
    <n v="108540"/>
    <s v="PAULA CRISTINA AZEVEDO JANES DA COSTA"/>
    <s v="paulaccosta@ua.pt"/>
    <n v="8220"/>
    <s v="TP2"/>
    <s v="P1a"/>
    <s v="O "/>
    <n v="10"/>
    <n v="6"/>
    <n v="2"/>
    <n v="2"/>
    <n v="2"/>
    <n v="4"/>
    <n v="16"/>
    <n v="2"/>
    <n v="9.3333333333333339"/>
    <s v="Reprovado"/>
    <s v="MP"/>
    <n v="4"/>
    <s v="Piorou (-14 valores, -87,5%)"/>
  </r>
  <r>
    <n v="103112"/>
    <s v="MARGARIDA HENRIQUES DE OLIVEIRA"/>
    <s v="marga.oliveira@ua.pt"/>
    <n v="8220"/>
    <s v="TP2"/>
    <s v="P2"/>
    <s v="O "/>
    <n v="11"/>
    <n v="3"/>
    <n v="4"/>
    <n v="1"/>
    <n v="1"/>
    <n v="1"/>
    <n v="10"/>
    <n v="2"/>
    <n v="7.666666666666667"/>
    <s v="Reprovado"/>
    <s v="MP"/>
    <n v="9"/>
    <s v="Piorou (-8 valores, -80%)"/>
  </r>
  <r>
    <n v="111224"/>
    <s v="MATTEO MARROCCO"/>
    <s v="matteo.marrocco@ua.pt"/>
    <n v="1000"/>
    <s v="TP2"/>
    <s v="P1a"/>
    <s v="O "/>
    <n v="11"/>
    <n v="1"/>
    <n v="2"/>
    <n v="3"/>
    <n v="2"/>
    <n v="6"/>
    <n v="14"/>
    <n v="2"/>
    <n v="9"/>
    <s v="Reprovado"/>
    <s v="MP"/>
    <n v="5"/>
    <s v="Piorou (-12 valores, -85,7%)"/>
  </r>
  <r>
    <n v="102150"/>
    <s v="ANTONIO CÉSAR CASTRO IGLESIAS"/>
    <s v="antonio.iglesias@ua.pt"/>
    <n v="8220"/>
    <s v="TP1"/>
    <s v="P8"/>
    <s v="O "/>
    <n v="10"/>
    <n v="1"/>
    <n v="2"/>
    <n v="6"/>
    <n v="3"/>
    <n v="7"/>
    <n v="19"/>
    <n v="2"/>
    <n v="10.333333333333334"/>
    <s v="Aprovado"/>
    <m/>
    <s v="—"/>
    <s v="Piorou (-17 valores, -89,5%)"/>
  </r>
  <r>
    <n v="107185"/>
    <s v="JOÃO AFONSO DA SILVA ALMEIDA"/>
    <s v="joao.afonso.salmeida@ua.pt"/>
    <n v="8220"/>
    <s v="TP2"/>
    <s v="P8"/>
    <s v="O "/>
    <n v="11"/>
    <n v="3"/>
    <n v="1"/>
    <n v="4"/>
    <n v="1"/>
    <n v="1"/>
    <n v="10"/>
    <n v="2"/>
    <n v="7.666666666666667"/>
    <s v="Reprovado"/>
    <s v="MP"/>
    <n v="9"/>
    <s v="Piorou (-8 valores, -80%)"/>
  </r>
  <r>
    <n v="104229"/>
    <s v="ANA AIDA GOMES VIEIRA MOREIRA DE SÁ"/>
    <s v="anaaida@ua.pt"/>
    <n v="8220"/>
    <s v="TP2"/>
    <s v="P8"/>
    <s v="O "/>
    <n v="12"/>
    <n v="3"/>
    <n v="1"/>
    <n v="1"/>
    <n v="3"/>
    <n v="1"/>
    <n v="9"/>
    <n v="2"/>
    <n v="7.666666666666667"/>
    <s v="Reprovado"/>
    <s v="MP"/>
    <n v="9"/>
    <s v="Piorou (-7 valores, -77,8%)"/>
  </r>
  <r>
    <n v="103235"/>
    <s v="BERNARDO FONSECA NEVES OLIVEIRA"/>
    <s v="berna.oliveira@ua.pt"/>
    <n v="8220"/>
    <s v="TP2"/>
    <s v="P1a"/>
    <s v="O "/>
    <n v="9"/>
    <n v="2"/>
    <n v="1"/>
    <n v="1"/>
    <n v="2"/>
    <n v="2"/>
    <n v="8"/>
    <n v="2"/>
    <n v="6.333333333333333"/>
    <s v="Reprovado"/>
    <s v="MP"/>
    <n v="13"/>
    <s v="Piorou (-6 valores, -75%)"/>
  </r>
  <r>
    <n v="110719"/>
    <s v="CAROLINA MELO E VALE MONETTO"/>
    <s v="carol.melo@ua.pt"/>
    <n v="8220"/>
    <s v="TP1"/>
    <s v="P7"/>
    <s v="O "/>
    <n v="10"/>
    <n v="1"/>
    <n v="1"/>
    <n v="1"/>
    <n v="3"/>
    <n v="2"/>
    <n v="8"/>
    <n v="2"/>
    <n v="6.666666666666667"/>
    <s v="Reprovado"/>
    <s v="MP"/>
    <n v="12"/>
    <s v="Piorou (-6 valores, -75%)"/>
  </r>
  <r>
    <n v="102669"/>
    <s v="HENRIQUE SARMENTO CALDEIRA"/>
    <s v="h.caldeira@ua.pt"/>
    <n v="8220"/>
    <s v="TP2"/>
    <s v="P1"/>
    <s v="O "/>
    <n v="17"/>
    <n v="3"/>
    <n v="1"/>
    <n v="2"/>
    <n v="1"/>
    <n v="2"/>
    <n v="9"/>
    <n v="2"/>
    <n v="9.3333333333333339"/>
    <s v="Reprovado"/>
    <s v="MP"/>
    <n v="4"/>
    <s v="Piorou (-7 valores, -77,8%)"/>
  </r>
  <r>
    <n v="108113"/>
    <s v="JOANA MARIA FREITAS GASPAR"/>
    <s v="joana.gaspar@ua.pt"/>
    <n v="8220"/>
    <s v="TP1"/>
    <s v="P1a"/>
    <s v="O "/>
    <n v="18"/>
    <n v="2"/>
    <n v="3"/>
    <n v="1"/>
    <n v="1"/>
    <n v="1"/>
    <n v="8"/>
    <n v="2"/>
    <n v="9.3333333333333339"/>
    <s v="Reprovado"/>
    <s v="MP"/>
    <n v="4"/>
    <s v="Piorou (-6 valores, -75%)"/>
  </r>
  <r>
    <n v="108204"/>
    <s v="MARCO ANTÓNIO SILVA RODRIGUES"/>
    <s v="mar.ant@ua.pt"/>
    <n v="8220"/>
    <s v="TP2"/>
    <s v="P1a"/>
    <s v="O "/>
    <n v="9"/>
    <n v="1"/>
    <n v="5"/>
    <n v="2"/>
    <n v="1"/>
    <n v="2"/>
    <n v="11"/>
    <n v="2"/>
    <n v="7.333333333333333"/>
    <s v="Reprovado"/>
    <s v="MP"/>
    <n v="10"/>
    <s v="Piorou (-9 valores, -81,8%)"/>
  </r>
  <r>
    <n v="107356"/>
    <s v="ANA RAQUEL ARRAIOLOS VICENTE"/>
    <s v="raquelarraiolos@ua.pt"/>
    <n v="8220"/>
    <s v="TP2"/>
    <s v="P9"/>
    <s v="O "/>
    <n v="12"/>
    <n v="1"/>
    <n v="1"/>
    <n v="2"/>
    <n v="3"/>
    <n v="2"/>
    <n v="9"/>
    <n v="2"/>
    <n v="7.666666666666667"/>
    <s v="Reprovado"/>
    <s v="MP"/>
    <n v="9"/>
    <s v="Piorou (-7 valores, -77,8%)"/>
  </r>
  <r>
    <n v="102011"/>
    <s v="CAROLINA FERREIRA MARTINS"/>
    <s v="cfmartins@ua.pt"/>
    <n v="8220"/>
    <s v="TP2"/>
    <s v="P2"/>
    <s v="O "/>
    <n v="18"/>
    <n v="1"/>
    <n v="1"/>
    <n v="4"/>
    <n v="3"/>
    <n v="3"/>
    <n v="12"/>
    <n v="2"/>
    <n v="10.666666666666666"/>
    <s v="Aprovado"/>
    <m/>
    <s v="—"/>
    <s v="Piorou (-10 valores, -83,3%)"/>
  </r>
  <r>
    <n v="104183"/>
    <s v="LILIANA RAQUEL PEREIRA DA CUNHA"/>
    <s v="lilianacunha02@ua.pt"/>
    <n v="8220"/>
    <s v="TP2"/>
    <s v="P1"/>
    <s v="O "/>
    <n v="14"/>
    <n v="1"/>
    <n v="2"/>
    <n v="3"/>
    <n v="5"/>
    <n v="1"/>
    <n v="12"/>
    <n v="2"/>
    <n v="9.3333333333333339"/>
    <s v="Reprovado"/>
    <s v="MP"/>
    <n v="4"/>
    <s v="Piorou (-10 valores, -83,3%)"/>
  </r>
  <r>
    <n v="108629"/>
    <s v="CAROLINA AMOEDO DE SOUSA AFONSO"/>
    <s v="carol.afonso@ua.pt"/>
    <n v="8220"/>
    <s v="TP2"/>
    <s v="P9"/>
    <s v="O "/>
    <n v="16"/>
    <n v="2"/>
    <n v="1"/>
    <n v="7"/>
    <n v="5"/>
    <n v="4"/>
    <n v="19"/>
    <n v="2"/>
    <n v="12.333333333333334"/>
    <s v="Aprovado"/>
    <m/>
    <s v="—"/>
    <s v="Piorou (-17 valores, -89,5%)"/>
  </r>
  <r>
    <n v="102743"/>
    <s v="CATARINA SANTOS RODRIGUES"/>
    <s v="catarinasantosrodrigues@ua.pt"/>
    <n v="8220"/>
    <s v="TP1"/>
    <s v="P5"/>
    <s v="O "/>
    <n v="10"/>
    <n v="1"/>
    <n v="4"/>
    <n v="8"/>
    <n v="5"/>
    <n v="1"/>
    <n v="19"/>
    <n v="2"/>
    <n v="10.333333333333334"/>
    <s v="Aprovado"/>
    <m/>
    <s v="—"/>
    <s v="Piorou (-17 valores, -89,5%)"/>
  </r>
  <r>
    <n v="108654"/>
    <s v="MARIA INÊS MARQUES LOPES"/>
    <s v="milopes@ua.pt"/>
    <n v="8220"/>
    <s v="TP2"/>
    <s v="P9"/>
    <s v="TP"/>
    <n v="11"/>
    <n v="1"/>
    <n v="2"/>
    <n v="6"/>
    <n v="2"/>
    <n v="1"/>
    <n v="12"/>
    <n v="2"/>
    <n v="8.3333333333333339"/>
    <s v="Reprovado"/>
    <s v="MP"/>
    <n v="7"/>
    <s v="Piorou (-10 valores, -83,3%)"/>
  </r>
  <r>
    <n v="108869"/>
    <s v="ANA MARGARIDA DA COSTA COELHO"/>
    <s v="ana.marg@ua.pt"/>
    <n v="8220"/>
    <s v="TP1"/>
    <s v="P8"/>
    <s v="O "/>
    <n v="8"/>
    <n v="2"/>
    <n v="1"/>
    <n v="3"/>
    <n v="2"/>
    <n v="1"/>
    <n v="9"/>
    <n v="2"/>
    <n v="6.333333333333333"/>
    <s v="Reprovado"/>
    <s v="MP"/>
    <n v="13"/>
    <s v="Piorou (-7 valores, -77,8%)"/>
  </r>
  <r>
    <n v="103761"/>
    <s v="CARLOS JOSÉ FONSECA E AZEVEDO"/>
    <s v="azevedocarlos@ua.pt"/>
    <n v="8220"/>
    <s v="TP2"/>
    <s v="P1"/>
    <s v="O "/>
    <n v="8"/>
    <n v="1"/>
    <n v="5"/>
    <n v="3"/>
    <n v="1"/>
    <n v="8"/>
    <n v="18"/>
    <n v="2"/>
    <n v="9.3333333333333339"/>
    <s v="Reprovado"/>
    <s v="MP"/>
    <n v="4"/>
    <s v="Piorou (-16 valores, -88,9%)"/>
  </r>
  <r>
    <n v="107208"/>
    <s v="EDGAR JOSE SANTANA SILVA"/>
    <s v="edgarjsilva19@ua.pt"/>
    <n v="8220"/>
    <s v="TP2"/>
    <s v="P1a"/>
    <s v="O "/>
    <n v="14"/>
    <n v="1"/>
    <n v="2"/>
    <n v="5"/>
    <n v="3"/>
    <n v="1"/>
    <n v="12"/>
    <n v="2"/>
    <n v="9.3333333333333339"/>
    <s v="Reprovado"/>
    <s v="MP"/>
    <n v="4"/>
    <s v="Piorou (-10 valores, -83,3%)"/>
  </r>
  <r>
    <n v="103314"/>
    <s v="MADALENA LOPES SANTOS MARTINS NABAIS"/>
    <s v="madalenanabais@ua.pt"/>
    <n v="8220"/>
    <s v="TP2"/>
    <s v="P3"/>
    <s v="O "/>
    <n v="8"/>
    <n v="1"/>
    <n v="3"/>
    <n v="3"/>
    <n v="4"/>
    <n v="3"/>
    <n v="14"/>
    <n v="2"/>
    <n v="8"/>
    <s v="Reprovado"/>
    <s v="MP"/>
    <n v="8"/>
    <s v="Piorou (-12 valores, -85,7%)"/>
  </r>
  <r>
    <n v="109150"/>
    <s v="INES DOS SANTOS MARTINS"/>
    <s v="inessantosmartins@ua.pt"/>
    <n v="8220"/>
    <s v="TP2"/>
    <s v="P1a"/>
    <s v="O "/>
    <n v="14"/>
    <n v="3"/>
    <n v="4"/>
    <n v="4"/>
    <n v="1"/>
    <n v="2"/>
    <n v="14"/>
    <n v="2"/>
    <n v="10"/>
    <s v="Aprovado"/>
    <m/>
    <s v="—"/>
    <s v="Piorou (-12 valores, -85,7%)"/>
  </r>
  <r>
    <n v="105431"/>
    <s v="DIANA ALEXANDRA GUEDES VIEIRA"/>
    <s v="dag2@ua.pt"/>
    <n v="8220"/>
    <s v="TP1"/>
    <s v="P7"/>
    <s v="O "/>
    <n v="11"/>
    <n v="1"/>
    <n v="2"/>
    <n v="2"/>
    <n v="7"/>
    <n v="6"/>
    <n v="18"/>
    <n v="2"/>
    <n v="10.333333333333334"/>
    <s v="Aprovado"/>
    <m/>
    <s v="—"/>
    <s v="Piorou (-16 valores, -88,9%)"/>
  </r>
  <r>
    <n v="103768"/>
    <s v="MARIA MARGARIDA PINTO ROCHA"/>
    <s v="mmrocha@ua.pt"/>
    <n v="8258"/>
    <s v="TP2"/>
    <s v="P1a"/>
    <s v="O "/>
    <n v="18"/>
    <n v="2"/>
    <n v="3"/>
    <n v="4"/>
    <n v="2"/>
    <n v="2"/>
    <n v="13"/>
    <n v="2"/>
    <n v="11"/>
    <s v="Aprovado"/>
    <m/>
    <s v="—"/>
    <s v="Piorou (-11 valores, -84,6%)"/>
  </r>
  <r>
    <n v="98007"/>
    <s v="BEATRIZ PINHEIRO PIRES"/>
    <s v="beatrizppires@ua.pt"/>
    <n v="8220"/>
    <s v="TP2"/>
    <s v="P1a"/>
    <s v="O "/>
    <n v="11"/>
    <n v="1"/>
    <n v="3"/>
    <n v="2"/>
    <n v="1"/>
    <n v="1"/>
    <n v="8"/>
    <n v="2"/>
    <n v="7"/>
    <s v="Reprovado"/>
    <s v="MP"/>
    <n v="11"/>
    <s v="Piorou (-6 valores, -75%)"/>
  </r>
  <r>
    <n v="107594"/>
    <s v="CATARINA ALEXANDRA RAMOS MANJOLINHO COSTA"/>
    <s v="catarina.costa21@ua.pt"/>
    <n v="8220"/>
    <s v="TP2"/>
    <s v="P2"/>
    <s v="O "/>
    <n v="16"/>
    <n v="4"/>
    <n v="2"/>
    <n v="2"/>
    <n v="1"/>
    <n v="4"/>
    <n v="13"/>
    <n v="2"/>
    <n v="10.333333333333334"/>
    <s v="Aprovado"/>
    <m/>
    <s v="—"/>
    <s v="Piorou (-11 valores, -84,6%)"/>
  </r>
  <r>
    <n v="107319"/>
    <s v="MARIANA VIEIRA LIMA"/>
    <s v="mvlima@ua.pt"/>
    <n v="8220"/>
    <s v="TP2"/>
    <s v="P1"/>
    <s v="O "/>
    <n v="16"/>
    <n v="5"/>
    <n v="2"/>
    <n v="3"/>
    <n v="3"/>
    <n v="1"/>
    <n v="14"/>
    <n v="2"/>
    <n v="10.666666666666666"/>
    <s v="Aprovado"/>
    <m/>
    <s v="—"/>
    <s v="Piorou (-12 valores, -85,7%)"/>
  </r>
  <r>
    <n v="99397"/>
    <s v="JOANA GONÇALVES FERREIRA"/>
    <s v="joanagf@ua.pt"/>
    <n v="8220"/>
    <s v="TP2"/>
    <s v="P1"/>
    <s v="O "/>
    <n v="16"/>
    <n v="2"/>
    <n v="3"/>
    <n v="1"/>
    <n v="1"/>
    <n v="2"/>
    <n v="9"/>
    <n v="2"/>
    <n v="9"/>
    <s v="Reprovado"/>
    <s v="MP"/>
    <n v="5"/>
    <s v="Piorou (-7 valores, -77,8%)"/>
  </r>
  <r>
    <n v="105127"/>
    <s v="PEDRO DANIEL VEIGA ALVES CAIO"/>
    <s v="pedro.caio@ua.pt"/>
    <n v="8258"/>
    <s v="TP1"/>
    <s v="P1a"/>
    <s v="O "/>
    <n v="10"/>
    <n v="2"/>
    <n v="3"/>
    <n v="5"/>
    <n v="3"/>
    <n v="6"/>
    <n v="19"/>
    <n v="2"/>
    <n v="10.333333333333334"/>
    <s v="Aprovado"/>
    <m/>
    <s v="—"/>
    <s v="Piorou (-17 valores, -89,5%)"/>
  </r>
  <r>
    <n v="105083"/>
    <s v="MARGARIDA DA COSTA MOREIRA"/>
    <s v="margaridacmoreira18@ua.pt"/>
    <n v="8220"/>
    <s v="TP1"/>
    <s v="P1a"/>
    <s v="O "/>
    <n v="11"/>
    <n v="4"/>
    <n v="4"/>
    <n v="2"/>
    <n v="1"/>
    <n v="7"/>
    <n v="18"/>
    <n v="2"/>
    <n v="10.333333333333334"/>
    <s v="Aprovado"/>
    <m/>
    <s v="—"/>
    <s v="Piorou (-16 valores, -88,9%)"/>
  </r>
  <r>
    <n v="109162"/>
    <s v="GONÇALO ALBINO BORRELHO NETO"/>
    <s v="goncaloalbino@ua.pt"/>
    <n v="8220"/>
    <s v="TP2"/>
    <s v="P1a"/>
    <s v="O "/>
    <n v="10"/>
    <n v="1"/>
    <n v="2"/>
    <n v="3"/>
    <n v="2"/>
    <n v="2"/>
    <n v="10"/>
    <n v="2"/>
    <n v="7.333333333333333"/>
    <s v="Reprovado"/>
    <s v="MP"/>
    <n v="10"/>
    <s v="Piorou (-8 valores, -80%)"/>
  </r>
  <r>
    <n v="108225"/>
    <s v="INÊS ISABEL OLIVEIRA REBELO"/>
    <s v="ines.i.o.r@ua.pt"/>
    <n v="8220"/>
    <s v="TP2"/>
    <s v="P1"/>
    <s v="O "/>
    <n v="8"/>
    <n v="1"/>
    <n v="1"/>
    <n v="2"/>
    <n v="1"/>
    <n v="3"/>
    <n v="8"/>
    <n v="2"/>
    <n v="6"/>
    <s v="Reprovado"/>
    <s v="MP"/>
    <n v="14"/>
    <s v="Piorou (-6 valores, -75%)"/>
  </r>
  <r>
    <n v="105880"/>
    <s v="BERNARDO JOSÉ DE OLIVEIRA NUNES GOMES"/>
    <s v="nunes.gomes@ua.pt"/>
    <n v="1000"/>
    <s v="TP2"/>
    <s v="P2"/>
    <s v="O "/>
    <n v="16"/>
    <n v="6"/>
    <n v="2"/>
    <n v="6"/>
    <n v="1"/>
    <n v="1"/>
    <n v="16"/>
    <n v="2"/>
    <n v="11.333333333333334"/>
    <s v="Aprovado"/>
    <m/>
    <s v="—"/>
    <s v="Piorou (-14 valores, -87,5%)"/>
  </r>
  <r>
    <n v="108078"/>
    <s v="DUARTE TELES MARTINS"/>
    <s v="duarteteles@ua.pt"/>
    <n v="8220"/>
    <s v="TP1"/>
    <s v="P3"/>
    <s v="O "/>
    <n v="16"/>
    <n v="1"/>
    <n v="1"/>
    <n v="4"/>
    <n v="4"/>
    <n v="2"/>
    <n v="12"/>
    <n v="2"/>
    <n v="10"/>
    <s v="Aprovado"/>
    <m/>
    <s v="—"/>
    <s v="Piorou (-10 valores, -83,3%)"/>
  </r>
  <r>
    <n v="108146"/>
    <s v="CAROLINA RODRIGUES RABAÇAL"/>
    <s v="carolinarodriguesrabacal@ua.pt"/>
    <n v="8220"/>
    <s v="TP2"/>
    <s v="P1a"/>
    <s v="O "/>
    <n v="11"/>
    <n v="2"/>
    <n v="3"/>
    <n v="7"/>
    <n v="1"/>
    <n v="3"/>
    <n v="16"/>
    <n v="2"/>
    <n v="9.6666666666666661"/>
    <s v="Reprovado"/>
    <s v="MP"/>
    <n v="3"/>
    <s v="Piorou (-14 valores, -87,5%)"/>
  </r>
  <r>
    <n v="102437"/>
    <s v="JÚLIA MONIZ GANCHAS"/>
    <s v="juliaganchas@ua.pt"/>
    <n v="8220"/>
    <s v="TP2"/>
    <s v="P1a"/>
    <s v="O "/>
    <n v="16"/>
    <n v="2"/>
    <n v="1"/>
    <n v="2"/>
    <n v="9"/>
    <n v="2"/>
    <n v="16"/>
    <n v="2"/>
    <n v="11.333333333333334"/>
    <s v="Aprovado"/>
    <m/>
    <s v="—"/>
    <s v="Piorou (-14 valores, -87,5%)"/>
  </r>
  <r>
    <n v="97876"/>
    <s v="MARIA INÊS GASPAR SAMPAIO"/>
    <s v="maria.sampaio@ua.pt"/>
    <n v="8220"/>
    <s v="TP2"/>
    <s v="P10"/>
    <s v="O "/>
    <n v="18"/>
    <n v="3"/>
    <n v="3"/>
    <n v="1"/>
    <n v="1"/>
    <n v="1"/>
    <n v="9"/>
    <n v="2"/>
    <n v="9.6666666666666661"/>
    <s v="Reprovado"/>
    <s v="MP"/>
    <n v="3"/>
    <s v="Piorou (-7 valores, -77,8%)"/>
  </r>
  <r>
    <n v="103910"/>
    <s v="ALEXANDRA RODRIGUES ABREU DIAS"/>
    <s v="alexandradias@ua.pt"/>
    <n v="8220"/>
    <s v="TP2"/>
    <s v="P5"/>
    <s v="O "/>
    <n v="10"/>
    <n v="1"/>
    <n v="1"/>
    <n v="1"/>
    <n v="1"/>
    <n v="3"/>
    <n v="7"/>
    <n v="2"/>
    <n v="6.333333333333333"/>
    <s v="Reprovado"/>
    <s v="MP"/>
    <n v="13"/>
    <s v="Piorou (-5 valores, -71,4%)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">
  <r>
    <n v="107447"/>
    <x v="0"/>
    <s v="maria.ines03@ua.pt"/>
    <n v="8314"/>
    <s v="TP2"/>
    <s v="P1a"/>
    <s v="O "/>
    <n v="13"/>
    <n v="2"/>
    <n v="1"/>
    <n v="3"/>
    <n v="2"/>
    <n v="7"/>
    <n v="15"/>
    <n v="2"/>
    <n v="10"/>
    <s v="Aprovado"/>
    <s v="Piorou (-13 valores, -86,7%)"/>
    <m/>
    <s v="—"/>
  </r>
  <r>
    <n v="94716"/>
    <x v="1"/>
    <s v="acatarinafmarques@ua.pt"/>
    <n v="8246"/>
    <s v="TP1"/>
    <s v="P8"/>
    <s v="O "/>
    <n v="8"/>
    <n v="3"/>
    <n v="4"/>
    <n v="2"/>
    <n v="1"/>
    <n v="1"/>
    <n v="11"/>
    <n v="2"/>
    <n v="7"/>
    <s v="Reprovado"/>
    <s v="Piorou (-9 valores, -81,8%)"/>
    <s v="MP"/>
    <n v="11"/>
  </r>
  <r>
    <n v="107135"/>
    <x v="2"/>
    <s v="marianamarques04@ua.pt"/>
    <n v="8314"/>
    <s v="TP2"/>
    <s v="P2"/>
    <s v="O "/>
    <n v="11"/>
    <n v="1"/>
    <n v="3"/>
    <n v="4"/>
    <n v="1"/>
    <n v="1"/>
    <n v="10"/>
    <n v="2"/>
    <n v="7.666666666666667"/>
    <s v="Reprovado"/>
    <s v="Piorou (-8 valores, -80%)"/>
    <s v="MP"/>
    <n v="9"/>
  </r>
  <r>
    <n v="107390"/>
    <x v="3"/>
    <s v="mariaforte@ua.pt"/>
    <n v="8314"/>
    <s v="NO_TP"/>
    <m/>
    <m/>
    <n v="11"/>
    <n v="13"/>
    <n v="2"/>
    <n v="1"/>
    <n v="2"/>
    <n v="1"/>
    <n v="19"/>
    <n v="2"/>
    <n v="10.666666666666666"/>
    <s v="Aprovado"/>
    <s v="Piorou (-17 valores, -89,5%)"/>
    <m/>
    <s v="—"/>
  </r>
  <r>
    <n v="108121"/>
    <x v="4"/>
    <s v="dani.teles@ua.pt"/>
    <n v="8314"/>
    <s v="TP1"/>
    <s v="P10"/>
    <s v="O "/>
    <n v="15"/>
    <n v="1"/>
    <n v="2"/>
    <n v="2"/>
    <n v="1"/>
    <n v="1"/>
    <n v="7"/>
    <n v="2"/>
    <n v="8"/>
    <s v="Reprovado"/>
    <s v="Piorou (-5 valores, -71,4%)"/>
    <s v="MP"/>
    <n v="8"/>
  </r>
  <r>
    <n v="107242"/>
    <x v="5"/>
    <s v="joanammsilva@ua.pt"/>
    <n v="8314"/>
    <s v="TP1"/>
    <s v="P7"/>
    <s v="O "/>
    <n v="17"/>
    <n v="1"/>
    <n v="1"/>
    <n v="1"/>
    <n v="4"/>
    <n v="4"/>
    <n v="11"/>
    <n v="2"/>
    <n v="10"/>
    <s v="Aprovado"/>
    <s v="Piorou (-9 valores, -81,8%)"/>
    <m/>
    <s v="—"/>
  </r>
  <r>
    <n v="108589"/>
    <x v="6"/>
    <s v="joana.inacio8@ua.pt"/>
    <n v="8314"/>
    <s v="TP2"/>
    <s v="P6"/>
    <s v="O "/>
    <n v="11"/>
    <n v="1"/>
    <n v="2"/>
    <n v="2"/>
    <n v="1"/>
    <n v="4"/>
    <n v="10"/>
    <n v="2"/>
    <n v="7.666666666666667"/>
    <s v="Reprovado"/>
    <s v="Piorou (-8 valores, -80%)"/>
    <s v="MP"/>
    <n v="9"/>
  </r>
  <r>
    <n v="108522"/>
    <x v="7"/>
    <s v="jpaabreu@ua.pt"/>
    <n v="8315"/>
    <s v="TP1"/>
    <s v="P7"/>
    <s v="O "/>
    <n v="13"/>
    <n v="2"/>
    <n v="3"/>
    <n v="3"/>
    <n v="1"/>
    <n v="9"/>
    <n v="18"/>
    <n v="2"/>
    <n v="11"/>
    <s v="Aprovado"/>
    <s v="Piorou (-16 valores, -88,9%)"/>
    <m/>
    <s v="—"/>
  </r>
  <r>
    <n v="107218"/>
    <x v="8"/>
    <s v="eduardacastro@ua.pt"/>
    <n v="8314"/>
    <s v="TP2"/>
    <s v="P5"/>
    <s v="O "/>
    <n v="10"/>
    <n v="2"/>
    <n v="2"/>
    <n v="6"/>
    <n v="7"/>
    <n v="2"/>
    <n v="19"/>
    <n v="2"/>
    <n v="10.333333333333334"/>
    <s v="Aprovado"/>
    <s v="Piorou (-17 valores, -89,5%)"/>
    <m/>
    <s v="—"/>
  </r>
  <r>
    <n v="108189"/>
    <x v="9"/>
    <s v="gasparbarbosa@ua.pt"/>
    <n v="8314"/>
    <s v="TP2"/>
    <s v="P2"/>
    <s v="O "/>
    <n v="12"/>
    <n v="1"/>
    <n v="1"/>
    <n v="2"/>
    <n v="5"/>
    <n v="4"/>
    <n v="13"/>
    <n v="2"/>
    <n v="9"/>
    <s v="Reprovado"/>
    <s v="Piorou (-11 valores, -84,6%)"/>
    <s v="MP"/>
    <n v="5"/>
  </r>
  <r>
    <n v="107372"/>
    <x v="10"/>
    <s v="eliana.bettencourt@ua.pt"/>
    <n v="8314"/>
    <s v="TP2"/>
    <s v="P2"/>
    <s v="O "/>
    <n v="15"/>
    <n v="6"/>
    <n v="4"/>
    <n v="1"/>
    <n v="4"/>
    <n v="1"/>
    <n v="16"/>
    <n v="2"/>
    <n v="11"/>
    <s v="Aprovado"/>
    <s v="Piorou (-14 valores, -87,5%)"/>
    <m/>
    <s v="—"/>
  </r>
  <r>
    <n v="108957"/>
    <x v="11"/>
    <s v="diogo.gcanhoto@ua.pt"/>
    <n v="8314"/>
    <s v="TP1"/>
    <s v="P8"/>
    <s v="O "/>
    <n v="14"/>
    <n v="1"/>
    <n v="5"/>
    <n v="2"/>
    <n v="5"/>
    <n v="5"/>
    <n v="18"/>
    <n v="2"/>
    <n v="11.333333333333334"/>
    <s v="Aprovado"/>
    <s v="Piorou (-16 valores, -88,9%)"/>
    <m/>
    <s v="—"/>
  </r>
  <r>
    <n v="107440"/>
    <x v="12"/>
    <s v="gab.oliveira@ua.pt"/>
    <n v="8314"/>
    <s v="TP2"/>
    <s v="P1"/>
    <s v="O "/>
    <n v="16"/>
    <n v="5"/>
    <n v="1"/>
    <n v="2"/>
    <n v="5"/>
    <n v="2"/>
    <n v="15"/>
    <n v="2"/>
    <n v="11"/>
    <s v="Aprovado"/>
    <s v="Piorou (-13 valores, -86,7%)"/>
    <m/>
    <s v="—"/>
  </r>
  <r>
    <n v="108188"/>
    <x v="13"/>
    <s v="joaomat22@ua.pt"/>
    <n v="8314"/>
    <s v="TP2"/>
    <s v="P1"/>
    <s v="O "/>
    <n v="16"/>
    <n v="1"/>
    <n v="2"/>
    <n v="1"/>
    <n v="2"/>
    <n v="1"/>
    <n v="7"/>
    <n v="2"/>
    <n v="8.3333333333333339"/>
    <s v="Reprovado"/>
    <s v="Piorou (-5 valores, -71,4%)"/>
    <s v="MP"/>
    <n v="7"/>
  </r>
  <r>
    <n v="108855"/>
    <x v="14"/>
    <s v="marianagmoreira@ua.pt"/>
    <n v="8314"/>
    <s v="TP1"/>
    <s v="P8"/>
    <s v="O "/>
    <n v="18"/>
    <n v="2"/>
    <n v="1"/>
    <n v="7"/>
    <n v="1"/>
    <n v="4"/>
    <n v="15"/>
    <n v="2"/>
    <n v="11.666666666666666"/>
    <s v="Aprovado"/>
    <s v="Piorou (-13 valores, -86,7%)"/>
    <m/>
    <s v="—"/>
  </r>
  <r>
    <n v="108672"/>
    <x v="15"/>
    <s v="marianacordeiro05@ua.pt"/>
    <n v="8314"/>
    <s v="TP1"/>
    <s v="P8"/>
    <s v="O "/>
    <n v="9"/>
    <n v="1"/>
    <n v="4"/>
    <n v="1"/>
    <n v="1"/>
    <n v="5"/>
    <n v="12"/>
    <n v="2"/>
    <n v="7.666666666666667"/>
    <s v="Reprovado"/>
    <s v="Piorou (-10 valores, -83,3%)"/>
    <s v="MP"/>
    <n v="9"/>
  </r>
  <r>
    <n v="108138"/>
    <x v="16"/>
    <s v="diogo.orfao@ua.pt"/>
    <n v="8314"/>
    <s v="TP2"/>
    <s v="P1"/>
    <s v="O "/>
    <n v="14"/>
    <n v="3"/>
    <n v="1"/>
    <n v="2"/>
    <n v="5"/>
    <n v="5"/>
    <n v="16"/>
    <n v="2"/>
    <n v="10.666666666666666"/>
    <s v="Aprovado"/>
    <s v="Piorou (-14 valores, -87,5%)"/>
    <m/>
    <s v="—"/>
  </r>
  <r>
    <n v="107236"/>
    <x v="17"/>
    <s v="beatriz.afonso@ua.pt"/>
    <n v="8314"/>
    <s v="TP1"/>
    <s v="P8"/>
    <s v="O "/>
    <n v="15"/>
    <n v="1"/>
    <n v="2"/>
    <n v="1"/>
    <n v="2"/>
    <n v="1"/>
    <n v="7"/>
    <n v="2"/>
    <n v="8"/>
    <s v="Reprovado"/>
    <s v="Piorou (-5 valores, -71,4%)"/>
    <s v="MP"/>
    <n v="8"/>
  </r>
  <r>
    <n v="104204"/>
    <x v="18"/>
    <s v="alexander.antoni@ua.pt"/>
    <n v="8307"/>
    <s v="TP1"/>
    <s v="P8"/>
    <s v="O "/>
    <n v="15"/>
    <n v="6"/>
    <n v="1"/>
    <n v="1"/>
    <n v="3"/>
    <n v="8"/>
    <n v="19"/>
    <n v="2"/>
    <n v="12"/>
    <s v="Aprovado"/>
    <s v="Piorou (-17 valores, -89,5%)"/>
    <m/>
    <s v="—"/>
  </r>
  <r>
    <n v="107428"/>
    <x v="19"/>
    <s v="i.melo@ua.pt"/>
    <n v="8314"/>
    <s v="TP1"/>
    <s v="P10"/>
    <s v="O "/>
    <n v="16"/>
    <n v="1"/>
    <n v="2"/>
    <n v="10"/>
    <n v="1"/>
    <n v="2"/>
    <n v="16"/>
    <n v="2"/>
    <n v="11.333333333333334"/>
    <s v="Aprovado"/>
    <s v="Piorou (-14 valores, -87,5%)"/>
    <m/>
    <s v="—"/>
  </r>
  <r>
    <n v="107259"/>
    <x v="20"/>
    <s v="daniel.mota.leal@ua.pt"/>
    <n v="8314"/>
    <s v="TP1"/>
    <s v="P10"/>
    <s v="O "/>
    <n v="9"/>
    <n v="2"/>
    <n v="1"/>
    <n v="5"/>
    <n v="3"/>
    <n v="2"/>
    <n v="13"/>
    <n v="2"/>
    <n v="8"/>
    <s v="Reprovado"/>
    <s v="Piorou (-11 valores, -84,6%)"/>
    <s v="MP"/>
    <n v="8"/>
  </r>
  <r>
    <n v="100088"/>
    <x v="21"/>
    <s v="maria.castro@ua.pt"/>
    <n v="8307"/>
    <s v="TP2"/>
    <s v="P1"/>
    <s v="O "/>
    <n v="13"/>
    <n v="6"/>
    <n v="3"/>
    <n v="1"/>
    <n v="1"/>
    <n v="1"/>
    <n v="12"/>
    <n v="2"/>
    <n v="9"/>
    <s v="Reprovado"/>
    <s v="Piorou (-10 valores, -83,3%)"/>
    <s v="MP"/>
    <n v="5"/>
  </r>
  <r>
    <n v="108506"/>
    <x v="22"/>
    <s v="carolinacatalao@ua.pt"/>
    <n v="8314"/>
    <s v="TP2"/>
    <s v="P1"/>
    <s v="O "/>
    <n v="17"/>
    <n v="1"/>
    <n v="2"/>
    <n v="2"/>
    <n v="4"/>
    <n v="1"/>
    <n v="10"/>
    <n v="2"/>
    <n v="9.6666666666666661"/>
    <s v="Reprovado"/>
    <s v="Piorou (-8 valores, -80%)"/>
    <s v="MP"/>
    <n v="3"/>
  </r>
  <r>
    <n v="110376"/>
    <x v="23"/>
    <s v="rfigueiredo@ua.pt"/>
    <n v="8314"/>
    <s v="TP2"/>
    <s v="P1"/>
    <s v="O "/>
    <n v="16"/>
    <n v="1"/>
    <n v="1"/>
    <n v="2"/>
    <n v="2"/>
    <n v="2"/>
    <n v="8"/>
    <n v="2"/>
    <n v="8.6666666666666661"/>
    <s v="Reprovado"/>
    <s v="Piorou (-6 valores, -75%)"/>
    <s v="MP"/>
    <n v="6"/>
  </r>
  <r>
    <n v="109038"/>
    <x v="24"/>
    <s v="martabdg@ua.pt"/>
    <n v="8314"/>
    <s v="TP1"/>
    <s v="P10"/>
    <s v="O "/>
    <n v="17"/>
    <n v="5"/>
    <n v="2"/>
    <n v="2"/>
    <n v="2"/>
    <n v="4"/>
    <n v="15"/>
    <n v="2"/>
    <n v="11.333333333333334"/>
    <s v="Aprovado"/>
    <s v="Piorou (-13 valores, -86,7%)"/>
    <m/>
    <s v="—"/>
  </r>
  <r>
    <n v="108727"/>
    <x v="25"/>
    <s v="joaorolo03@ua.pt"/>
    <n v="8314"/>
    <s v="TP1"/>
    <s v="P10"/>
    <s v="O "/>
    <n v="12"/>
    <n v="1"/>
    <n v="1"/>
    <n v="1"/>
    <n v="1"/>
    <n v="3"/>
    <n v="7"/>
    <n v="2"/>
    <n v="7"/>
    <s v="Reprovado"/>
    <s v="Piorou (-5 valores, -71,4%)"/>
    <s v="MP"/>
    <n v="11"/>
  </r>
  <r>
    <n v="93973"/>
    <x v="26"/>
    <s v="cdmartins@ua.pt"/>
    <n v="8307"/>
    <s v="TP1"/>
    <s v="P10"/>
    <s v="O "/>
    <n v="11"/>
    <n v="3"/>
    <n v="2"/>
    <n v="1"/>
    <n v="3"/>
    <n v="2"/>
    <n v="11"/>
    <n v="2"/>
    <n v="8"/>
    <s v="Reprovado"/>
    <s v="Piorou (-9 valores, -81,8%)"/>
    <s v="MP"/>
    <n v="8"/>
  </r>
  <r>
    <n v="108381"/>
    <x v="27"/>
    <s v="marianaleite26@ua.pt"/>
    <n v="8314"/>
    <s v="TP1"/>
    <s v="P10"/>
    <s v="O "/>
    <n v="8"/>
    <n v="3"/>
    <n v="2"/>
    <n v="2"/>
    <n v="2"/>
    <n v="9"/>
    <n v="18"/>
    <n v="2"/>
    <n v="9.3333333333333339"/>
    <s v="Reprovado"/>
    <s v="Piorou (-16 valores, -88,9%)"/>
    <s v="MP"/>
    <n v="4"/>
  </r>
  <r>
    <n v="108694"/>
    <x v="28"/>
    <s v="miguelxlira7@ua.pt"/>
    <n v="8314"/>
    <s v="TP1"/>
    <s v="P10"/>
    <s v="O "/>
    <n v="11"/>
    <n v="1"/>
    <n v="3"/>
    <n v="1"/>
    <n v="11"/>
    <n v="2"/>
    <n v="18"/>
    <n v="2"/>
    <n v="10.333333333333334"/>
    <s v="Aprovado"/>
    <s v="Piorou (-16 valores, -88,9%)"/>
    <m/>
    <s v="—"/>
  </r>
  <r>
    <n v="108421"/>
    <x v="29"/>
    <s v="marques.afonso@ua.pt"/>
    <n v="8314"/>
    <s v="TP2"/>
    <s v="P1"/>
    <s v="O "/>
    <n v="13"/>
    <n v="1"/>
    <n v="2"/>
    <n v="1"/>
    <n v="4"/>
    <n v="8"/>
    <n v="16"/>
    <n v="2"/>
    <n v="10.333333333333334"/>
    <s v="Aprovado"/>
    <s v="Piorou (-14 valores, -87,5%)"/>
    <m/>
    <s v="—"/>
  </r>
  <r>
    <n v="108366"/>
    <x v="30"/>
    <s v="leonor.marques@ua.pt"/>
    <n v="8314"/>
    <s v="TP1"/>
    <s v="P10"/>
    <s v="O "/>
    <n v="8"/>
    <n v="2"/>
    <n v="3"/>
    <n v="1"/>
    <n v="1"/>
    <n v="6"/>
    <n v="13"/>
    <n v="2"/>
    <n v="7.666666666666667"/>
    <s v="Reprovado"/>
    <s v="Piorou (-11 valores, -84,6%)"/>
    <s v="MP"/>
    <n v="9"/>
  </r>
  <r>
    <n v="109462"/>
    <x v="31"/>
    <s v="joaohenriquesantos@ua.pt"/>
    <n v="8314"/>
    <s v="TP1"/>
    <s v="P10"/>
    <s v="O "/>
    <n v="10"/>
    <n v="5"/>
    <n v="4"/>
    <n v="1"/>
    <n v="1"/>
    <n v="1"/>
    <n v="12"/>
    <n v="2"/>
    <n v="8"/>
    <s v="Reprovado"/>
    <s v="Piorou (-10 valores, -83,3%)"/>
    <s v="MP"/>
    <n v="8"/>
  </r>
  <r>
    <n v="93742"/>
    <x v="32"/>
    <s v="pedrosilva5@ua.pt"/>
    <n v="8307"/>
    <s v="TP1"/>
    <s v="P10"/>
    <s v="O "/>
    <n v="11"/>
    <n v="2"/>
    <n v="3"/>
    <n v="5"/>
    <n v="2"/>
    <n v="2"/>
    <n v="14"/>
    <n v="2"/>
    <n v="9"/>
    <s v="Reprovado"/>
    <s v="Piorou (-12 valores, -85,7%)"/>
    <s v="MP"/>
    <n v="5"/>
  </r>
  <r>
    <n v="109000"/>
    <x v="33"/>
    <s v="andresramos@ua.pt"/>
    <n v="8314"/>
    <s v="TP1"/>
    <s v="P10"/>
    <s v="O "/>
    <n v="16"/>
    <n v="1"/>
    <n v="3"/>
    <n v="1"/>
    <n v="4"/>
    <n v="6"/>
    <n v="15"/>
    <n v="2"/>
    <n v="11"/>
    <s v="Aprovado"/>
    <s v="Piorou (-13 valores, -86,7%)"/>
    <m/>
    <s v="—"/>
  </r>
  <r>
    <n v="107769"/>
    <x v="34"/>
    <s v="mcss@ua.pt"/>
    <n v="8314"/>
    <s v="TP1"/>
    <s v="P8"/>
    <s v="O "/>
    <n v="9"/>
    <n v="1"/>
    <n v="1"/>
    <n v="2"/>
    <n v="7"/>
    <n v="4"/>
    <n v="15"/>
    <n v="2"/>
    <n v="8.6666666666666661"/>
    <s v="Reprovado"/>
    <s v="Piorou (-13 valores, -86,7%)"/>
    <s v="MP"/>
    <n v="6"/>
  </r>
  <r>
    <n v="101446"/>
    <x v="35"/>
    <s v="lucaslouzada@ua.pt"/>
    <n v="8307"/>
    <s v="TP2"/>
    <s v="P1"/>
    <s v="O "/>
    <n v="11"/>
    <n v="3"/>
    <n v="9"/>
    <n v="1"/>
    <n v="1"/>
    <n v="2"/>
    <n v="16"/>
    <n v="2"/>
    <n v="9.6666666666666661"/>
    <s v="Reprovado"/>
    <s v="Piorou (-14 valores, -87,5%)"/>
    <s v="MP"/>
    <n v="3"/>
  </r>
  <r>
    <n v="109061"/>
    <x v="36"/>
    <s v="angelammaribeiro@ua.pt"/>
    <n v="8314"/>
    <s v="TP1"/>
    <s v="P10"/>
    <s v="O "/>
    <n v="11"/>
    <n v="1"/>
    <n v="2"/>
    <n v="1"/>
    <n v="3"/>
    <n v="2"/>
    <n v="9"/>
    <n v="2"/>
    <n v="7.333333333333333"/>
    <s v="Reprovado"/>
    <s v="Piorou (-7 valores, -77,8%)"/>
    <s v="MP"/>
    <n v="10"/>
  </r>
  <r>
    <n v="107487"/>
    <x v="37"/>
    <s v="joaomoreira10@ua.pt"/>
    <n v="8314"/>
    <s v="TP2"/>
    <s v="P2"/>
    <s v="O "/>
    <n v="11"/>
    <n v="1"/>
    <n v="2"/>
    <n v="3"/>
    <n v="4"/>
    <n v="5"/>
    <n v="15"/>
    <n v="2"/>
    <n v="9.3333333333333339"/>
    <s v="Reprovado"/>
    <s v="Piorou (-13 valores, -86,7%)"/>
    <s v="MP"/>
    <n v="4"/>
  </r>
  <r>
    <n v="107436"/>
    <x v="38"/>
    <s v="filipamarisamota@ua.pt"/>
    <n v="8314"/>
    <s v="TP2"/>
    <s v="P1"/>
    <s v="O "/>
    <n v="15"/>
    <n v="1"/>
    <n v="1"/>
    <n v="4"/>
    <n v="2"/>
    <n v="5"/>
    <n v="13"/>
    <n v="2"/>
    <n v="10"/>
    <s v="Aprovado"/>
    <s v="Piorou (-11 valores, -84,6%)"/>
    <m/>
    <s v="—"/>
  </r>
  <r>
    <n v="107529"/>
    <x v="39"/>
    <s v="mar.eduarda@ua.pt"/>
    <n v="8314"/>
    <s v="TP1"/>
    <s v="P10"/>
    <s v="O "/>
    <n v="8"/>
    <n v="3"/>
    <n v="1"/>
    <n v="1"/>
    <n v="3"/>
    <n v="10"/>
    <n v="18"/>
    <n v="2"/>
    <n v="9.3333333333333339"/>
    <s v="Reprovado"/>
    <s v="Piorou (-16 valores, -88,9%)"/>
    <s v="MP"/>
    <n v="4"/>
  </r>
  <r>
    <n v="107879"/>
    <x v="40"/>
    <s v="vasco.costa@ua.pt"/>
    <n v="8314"/>
    <s v="TP1"/>
    <s v="P10"/>
    <s v="O "/>
    <n v="9"/>
    <n v="3"/>
    <n v="1"/>
    <n v="2"/>
    <n v="2"/>
    <n v="5"/>
    <n v="13"/>
    <n v="2"/>
    <n v="8"/>
    <s v="Reprovado"/>
    <s v="Piorou (-11 valores, -84,6%)"/>
    <s v="MP"/>
    <n v="8"/>
  </r>
  <r>
    <n v="107788"/>
    <x v="41"/>
    <s v="luzia.ferreira@ua.pt"/>
    <n v="8314"/>
    <s v="TP1"/>
    <s v="P9"/>
    <s v="O "/>
    <n v="17"/>
    <n v="1"/>
    <n v="1"/>
    <n v="3"/>
    <n v="4"/>
    <n v="7"/>
    <n v="16"/>
    <n v="2"/>
    <n v="11.666666666666666"/>
    <s v="Aprovado"/>
    <s v="Piorou (-14 valores, -87,5%)"/>
    <m/>
    <s v="—"/>
  </r>
  <r>
    <n v="108449"/>
    <x v="42"/>
    <s v="leonorsalgado@ua.pt"/>
    <n v="8314"/>
    <s v="TP1"/>
    <s v="P9"/>
    <s v="O "/>
    <n v="17"/>
    <n v="4"/>
    <n v="1"/>
    <n v="1"/>
    <n v="1"/>
    <n v="1"/>
    <n v="8"/>
    <n v="2"/>
    <n v="9"/>
    <s v="Reprovado"/>
    <s v="Piorou (-6 valores, -75%)"/>
    <s v="MP"/>
    <n v="5"/>
  </r>
  <r>
    <n v="108651"/>
    <x v="43"/>
    <s v="larabfernandes@ua.pt"/>
    <n v="8314"/>
    <s v="TP2"/>
    <s v="P2"/>
    <s v="O "/>
    <n v="8"/>
    <n v="3"/>
    <n v="1"/>
    <n v="1"/>
    <n v="3"/>
    <n v="5"/>
    <n v="13"/>
    <n v="2"/>
    <n v="7.666666666666667"/>
    <s v="Reprovado"/>
    <s v="Piorou (-11 valores, -84,6%)"/>
    <s v="MP"/>
    <n v="9"/>
  </r>
  <r>
    <n v="107560"/>
    <x v="44"/>
    <s v="gabrielcastrosilva@ua.pt"/>
    <n v="8314"/>
    <s v="TP1"/>
    <s v="P9"/>
    <s v="O "/>
    <n v="18"/>
    <n v="8"/>
    <n v="1"/>
    <n v="2"/>
    <n v="2"/>
    <n v="6"/>
    <n v="19"/>
    <n v="2"/>
    <n v="13"/>
    <s v="Aprovado"/>
    <s v="Piorou (-17 valores, -89,5%)"/>
    <m/>
    <s v="—"/>
  </r>
  <r>
    <n v="107977"/>
    <x v="45"/>
    <s v="inesbebiano@ua.pt"/>
    <n v="8314"/>
    <s v="TP1"/>
    <s v="P9"/>
    <s v="O "/>
    <n v="12"/>
    <n v="2"/>
    <n v="6"/>
    <n v="1"/>
    <n v="3"/>
    <n v="3"/>
    <n v="15"/>
    <n v="2"/>
    <n v="9.6666666666666661"/>
    <s v="Reprovado"/>
    <s v="Piorou (-13 valores, -86,7%)"/>
    <s v="MP"/>
    <n v="3"/>
  </r>
  <r>
    <n v="107369"/>
    <x v="46"/>
    <s v="vasco.rocha@ua.pt"/>
    <n v="8314"/>
    <s v="TP2"/>
    <s v="P2"/>
    <s v="O "/>
    <n v="15"/>
    <n v="6"/>
    <n v="2"/>
    <n v="2"/>
    <n v="4"/>
    <n v="1"/>
    <n v="15"/>
    <n v="2"/>
    <n v="10.666666666666666"/>
    <s v="Aprovado"/>
    <s v="Piorou (-13 valores, -86,7%)"/>
    <m/>
    <s v="—"/>
  </r>
  <r>
    <n v="108171"/>
    <x v="47"/>
    <s v="ana.assuncao31@ua.pt"/>
    <n v="8314"/>
    <s v="TP1"/>
    <s v="P9"/>
    <s v="O "/>
    <n v="11"/>
    <n v="1"/>
    <n v="1"/>
    <n v="5"/>
    <n v="2"/>
    <n v="1"/>
    <n v="10"/>
    <n v="2"/>
    <n v="7.666666666666667"/>
    <s v="Reprovado"/>
    <s v="Piorou (-8 valores, -80%)"/>
    <s v="MP"/>
    <n v="9"/>
  </r>
  <r>
    <n v="107920"/>
    <x v="48"/>
    <s v="alex.vale@ua.pt"/>
    <n v="8314"/>
    <s v="TP2"/>
    <s v="P1"/>
    <s v="O "/>
    <n v="10"/>
    <n v="2"/>
    <n v="3"/>
    <n v="1"/>
    <n v="1"/>
    <n v="2"/>
    <n v="9"/>
    <n v="2"/>
    <n v="7"/>
    <s v="Reprovado"/>
    <s v="Piorou (-7 valores, -77,8%)"/>
    <s v="MP"/>
    <n v="11"/>
  </r>
  <r>
    <n v="109342"/>
    <x v="49"/>
    <s v="matildem03@ua.pt"/>
    <n v="8314"/>
    <s v="TP1"/>
    <s v="P9"/>
    <s v="O "/>
    <n v="15"/>
    <n v="3"/>
    <n v="2"/>
    <n v="1"/>
    <n v="1"/>
    <n v="3"/>
    <n v="10"/>
    <n v="2"/>
    <n v="9"/>
    <s v="Reprovado"/>
    <s v="Piorou (-8 valores, -80%)"/>
    <s v="MP"/>
    <n v="5"/>
  </r>
  <r>
    <n v="108430"/>
    <x v="50"/>
    <s v="martim.sousa@ua.pt"/>
    <n v="8314"/>
    <s v="TP2"/>
    <s v="P2"/>
    <s v="O "/>
    <n v="10"/>
    <n v="3"/>
    <n v="9"/>
    <n v="2"/>
    <n v="2"/>
    <n v="1"/>
    <n v="17"/>
    <n v="2"/>
    <n v="9.6666666666666661"/>
    <s v="Reprovado"/>
    <s v="Piorou (-15 valores, -88,2%)"/>
    <s v="MP"/>
    <n v="3"/>
  </r>
  <r>
    <n v="108816"/>
    <x v="51"/>
    <s v="diogonogueira@ua.pt"/>
    <n v="8314"/>
    <s v="TP1"/>
    <s v="P9"/>
    <s v="O "/>
    <n v="8"/>
    <n v="5"/>
    <n v="4"/>
    <n v="4"/>
    <n v="1"/>
    <n v="5"/>
    <n v="19"/>
    <n v="2"/>
    <n v="9.6666666666666661"/>
    <s v="Reprovado"/>
    <s v="Piorou (-17 valores, -89,5%)"/>
    <s v="MP"/>
    <n v="3"/>
  </r>
  <r>
    <n v="108842"/>
    <x v="52"/>
    <s v="emasofiacastro@ua.pt"/>
    <n v="8314"/>
    <s v="TP1"/>
    <s v="P9"/>
    <s v="O "/>
    <n v="8"/>
    <n v="1"/>
    <n v="6"/>
    <n v="1"/>
    <n v="4"/>
    <n v="1"/>
    <n v="13"/>
    <n v="2"/>
    <n v="7.666666666666667"/>
    <s v="Reprovado"/>
    <s v="Piorou (-11 valores, -84,6%)"/>
    <s v="MP"/>
    <n v="9"/>
  </r>
  <r>
    <n v="103797"/>
    <x v="53"/>
    <s v="carolina.neiva@ua.pt"/>
    <n v="8307"/>
    <s v="TP1"/>
    <s v="P9"/>
    <s v="O "/>
    <n v="12"/>
    <n v="1"/>
    <n v="3"/>
    <n v="3"/>
    <n v="1"/>
    <n v="2"/>
    <n v="10"/>
    <n v="2"/>
    <n v="8"/>
    <s v="Reprovado"/>
    <s v="Piorou (-8 valores, -80%)"/>
    <s v="MP"/>
    <n v="8"/>
  </r>
  <r>
    <n v="107777"/>
    <x v="54"/>
    <s v="pmvl@ua.pt"/>
    <n v="8314"/>
    <s v="TP2"/>
    <s v="P1"/>
    <s v="O "/>
    <n v="13"/>
    <n v="3"/>
    <n v="1"/>
    <n v="1"/>
    <n v="4"/>
    <n v="4"/>
    <n v="13"/>
    <n v="2"/>
    <n v="9.3333333333333339"/>
    <s v="Reprovado"/>
    <s v="Piorou (-11 valores, -84,6%)"/>
    <s v="MP"/>
    <n v="4"/>
  </r>
  <r>
    <n v="107717"/>
    <x v="55"/>
    <s v="margarida.ribeiro60@ua.pt"/>
    <n v="8314"/>
    <s v="TP1"/>
    <s v="P9"/>
    <s v="O "/>
    <n v="13"/>
    <n v="4"/>
    <n v="1"/>
    <n v="3"/>
    <n v="2"/>
    <n v="2"/>
    <n v="12"/>
    <n v="2"/>
    <n v="9"/>
    <s v="Reprovado"/>
    <s v="Piorou (-10 valores, -83,3%)"/>
    <s v="MP"/>
    <n v="5"/>
  </r>
  <r>
    <n v="103443"/>
    <x v="56"/>
    <s v="mariainesst@ua.pt"/>
    <n v="8307"/>
    <s v="TP2"/>
    <s v="P1"/>
    <s v="O "/>
    <n v="14"/>
    <n v="2"/>
    <n v="4"/>
    <n v="2"/>
    <n v="1"/>
    <n v="5"/>
    <n v="14"/>
    <n v="2"/>
    <n v="10"/>
    <s v="Aprovado"/>
    <s v="Piorou (-12 valores, -85,7%)"/>
    <m/>
    <s v="—"/>
  </r>
  <r>
    <n v="108950"/>
    <x v="57"/>
    <s v="sofia.fcosta@ua.pt"/>
    <n v="8314"/>
    <s v="TP1"/>
    <s v="P9"/>
    <s v="O "/>
    <n v="16"/>
    <n v="3"/>
    <n v="6"/>
    <n v="1"/>
    <n v="1"/>
    <n v="7"/>
    <n v="18"/>
    <n v="2"/>
    <n v="12"/>
    <s v="Aprovado"/>
    <s v="Piorou (-16 valores, -88,9%)"/>
    <m/>
    <s v="—"/>
  </r>
  <r>
    <n v="108079"/>
    <x v="58"/>
    <s v="mariajcmendes@ua.pt"/>
    <n v="8314"/>
    <s v="TP1"/>
    <s v="P9"/>
    <s v="O "/>
    <n v="12"/>
    <n v="2"/>
    <n v="1"/>
    <n v="1"/>
    <n v="2"/>
    <n v="1"/>
    <n v="7"/>
    <n v="2"/>
    <n v="7"/>
    <s v="Reprovado"/>
    <s v="Piorou (-5 valores, -71,4%)"/>
    <s v="MP"/>
    <n v="11"/>
  </r>
  <r>
    <n v="109163"/>
    <x v="59"/>
    <s v="rpa04@ua.pt"/>
    <n v="8314"/>
    <s v="TP1"/>
    <s v="P9"/>
    <s v="O "/>
    <n v="9"/>
    <n v="4"/>
    <n v="2"/>
    <n v="4"/>
    <n v="1"/>
    <n v="7"/>
    <n v="18"/>
    <n v="2"/>
    <n v="9.6666666666666661"/>
    <s v="Reprovado"/>
    <s v="Piorou (-16 valores, -88,9%)"/>
    <s v="MP"/>
    <n v="3"/>
  </r>
  <r>
    <n v="110347"/>
    <x v="60"/>
    <s v="gabriela.b.ribeiro@ua.pt"/>
    <n v="8314"/>
    <s v="TP1"/>
    <s v="P9"/>
    <s v="O "/>
    <n v="12"/>
    <n v="2"/>
    <n v="3"/>
    <n v="1"/>
    <n v="1"/>
    <n v="8"/>
    <n v="15"/>
    <n v="2"/>
    <n v="9.6666666666666661"/>
    <s v="Reprovado"/>
    <s v="Piorou (-13 valores, -86,7%)"/>
    <s v="MP"/>
    <n v="3"/>
  </r>
  <r>
    <n v="109373"/>
    <x v="61"/>
    <s v="alexandre.vieira.santos@ua.pt"/>
    <n v="8314"/>
    <s v="TP1"/>
    <s v="P9"/>
    <s v="O "/>
    <n v="17"/>
    <n v="3"/>
    <n v="1"/>
    <n v="4"/>
    <n v="2"/>
    <n v="1"/>
    <n v="11"/>
    <n v="2"/>
    <n v="10"/>
    <s v="Aprovado"/>
    <s v="Piorou (-9 valores, -81,8%)"/>
    <m/>
    <s v="—"/>
  </r>
  <r>
    <n v="103203"/>
    <x v="62"/>
    <s v="rui.silva5@ua.pt"/>
    <n v="8295"/>
    <s v="TP1"/>
    <s v="P5"/>
    <s v="O "/>
    <n v="18"/>
    <n v="2"/>
    <n v="5"/>
    <n v="2"/>
    <n v="4"/>
    <n v="4"/>
    <n v="17"/>
    <n v="2"/>
    <n v="12.333333333333334"/>
    <s v="Aprovado"/>
    <s v="Piorou (-15 valores, -88,2%)"/>
    <m/>
    <s v="—"/>
  </r>
  <r>
    <n v="107335"/>
    <x v="63"/>
    <s v="rodrigoafc@ua.pt"/>
    <n v="8314"/>
    <s v="TP2"/>
    <s v="P3"/>
    <s v="O "/>
    <n v="18"/>
    <n v="4"/>
    <n v="1"/>
    <n v="1"/>
    <n v="6"/>
    <n v="1"/>
    <n v="13"/>
    <n v="2"/>
    <n v="11"/>
    <s v="Aprovado"/>
    <s v="Piorou (-11 valores, -84,6%)"/>
    <m/>
    <s v="—"/>
  </r>
  <r>
    <n v="93345"/>
    <x v="64"/>
    <s v="beatrizdsgmoreira@ua.pt"/>
    <n v="8250"/>
    <s v="TP2"/>
    <s v="P3"/>
    <s v="O "/>
    <n v="16"/>
    <n v="7"/>
    <n v="5"/>
    <n v="3"/>
    <n v="1"/>
    <n v="2"/>
    <n v="18"/>
    <n v="2"/>
    <n v="12"/>
    <s v="Aprovado"/>
    <s v="Piorou (-16 valores, -88,9%)"/>
    <m/>
    <s v="—"/>
  </r>
  <r>
    <n v="103409"/>
    <x v="65"/>
    <s v="beneditar@ua.pt"/>
    <n v="8307"/>
    <s v="TP1"/>
    <s v="P5"/>
    <s v="O "/>
    <n v="9"/>
    <n v="2"/>
    <n v="3"/>
    <n v="3"/>
    <n v="1"/>
    <n v="3"/>
    <n v="12"/>
    <n v="2"/>
    <n v="7.666666666666667"/>
    <s v="Reprovado"/>
    <s v="Piorou (-10 valores, -83,3%)"/>
    <s v="MP"/>
    <n v="9"/>
  </r>
  <r>
    <n v="108105"/>
    <x v="66"/>
    <s v="luismachado03@ua.pt"/>
    <n v="8314"/>
    <s v="TP1"/>
    <s v="P5"/>
    <s v="O "/>
    <n v="9"/>
    <n v="3"/>
    <n v="3"/>
    <n v="8"/>
    <n v="3"/>
    <n v="2"/>
    <n v="19"/>
    <n v="2"/>
    <n v="10"/>
    <s v="Aprovado"/>
    <s v="Piorou (-17 valores, -89,5%)"/>
    <m/>
    <s v="—"/>
  </r>
  <r>
    <n v="107848"/>
    <x v="67"/>
    <s v="carolinamaximocorreia@ua.pt"/>
    <n v="8314"/>
    <s v="TP1"/>
    <s v="P5"/>
    <s v="O "/>
    <n v="15"/>
    <n v="2"/>
    <n v="1"/>
    <n v="7"/>
    <n v="3"/>
    <n v="2"/>
    <n v="15"/>
    <n v="2"/>
    <n v="10.666666666666666"/>
    <s v="Aprovado"/>
    <s v="Piorou (-13 valores, -86,7%)"/>
    <m/>
    <s v="—"/>
  </r>
  <r>
    <n v="107318"/>
    <x v="68"/>
    <s v="franciscotavares@ua.pt"/>
    <n v="8314"/>
    <s v="TP2"/>
    <s v="P3"/>
    <s v="O "/>
    <n v="17"/>
    <n v="1"/>
    <n v="1"/>
    <n v="1"/>
    <n v="2"/>
    <n v="4"/>
    <n v="9"/>
    <n v="2"/>
    <n v="9.3333333333333339"/>
    <s v="Reprovado"/>
    <s v="Piorou (-7 valores, -77,8%)"/>
    <s v="MP"/>
    <n v="4"/>
  </r>
  <r>
    <n v="107611"/>
    <x v="69"/>
    <s v="joao.tferreira@ua.pt"/>
    <n v="8314"/>
    <s v="TP2"/>
    <s v="P3"/>
    <s v="O "/>
    <n v="17"/>
    <n v="2"/>
    <n v="1"/>
    <n v="3"/>
    <n v="4"/>
    <n v="8"/>
    <n v="18"/>
    <n v="2"/>
    <n v="12.333333333333334"/>
    <s v="Aprovado"/>
    <s v="Piorou (-16 valores, -88,9%)"/>
    <m/>
    <s v="—"/>
  </r>
  <r>
    <n v="108845"/>
    <x v="70"/>
    <s v="sofia.r.p.m@ua.pt"/>
    <n v="8314"/>
    <s v="TP1"/>
    <s v="P5"/>
    <s v="O "/>
    <n v="11"/>
    <n v="2"/>
    <n v="1"/>
    <n v="1"/>
    <n v="5"/>
    <n v="1"/>
    <n v="10"/>
    <n v="2"/>
    <n v="7.666666666666667"/>
    <s v="Reprovado"/>
    <s v="Piorou (-8 valores, -80%)"/>
    <s v="MP"/>
    <n v="9"/>
  </r>
  <r>
    <n v="108098"/>
    <x v="71"/>
    <s v="filipesambento@ua.pt"/>
    <n v="8314"/>
    <s v="TP1"/>
    <s v="P5"/>
    <s v="O "/>
    <n v="14"/>
    <n v="2"/>
    <n v="2"/>
    <n v="2"/>
    <n v="1"/>
    <n v="9"/>
    <n v="16"/>
    <n v="2"/>
    <n v="10.666666666666666"/>
    <s v="Aprovado"/>
    <s v="Piorou (-14 valores, -87,5%)"/>
    <m/>
    <s v="—"/>
  </r>
  <r>
    <n v="108723"/>
    <x v="72"/>
    <s v="carlos.f.f.afonso@ua.pt"/>
    <n v="8313"/>
    <s v="TP2"/>
    <s v="P3"/>
    <s v="O "/>
    <n v="15"/>
    <n v="1"/>
    <n v="1"/>
    <n v="3"/>
    <n v="6"/>
    <n v="3"/>
    <n v="14"/>
    <n v="2"/>
    <n v="10.333333333333334"/>
    <s v="Aprovado"/>
    <s v="Piorou (-12 valores, -85,7%)"/>
    <m/>
    <s v="—"/>
  </r>
  <r>
    <n v="103757"/>
    <x v="73"/>
    <s v="barbaraoliveira02@ua.pt"/>
    <n v="8307"/>
    <s v="TP1"/>
    <s v="P5"/>
    <s v="O "/>
    <n v="10"/>
    <n v="3"/>
    <n v="5"/>
    <n v="2"/>
    <n v="1"/>
    <n v="1"/>
    <n v="12"/>
    <n v="2"/>
    <n v="8"/>
    <s v="Reprovado"/>
    <s v="Piorou (-10 valores, -83,3%)"/>
    <s v="MP"/>
    <n v="8"/>
  </r>
  <r>
    <n v="107396"/>
    <x v="74"/>
    <s v="rita.alberto@ua.pt"/>
    <n v="8314"/>
    <s v="TP1"/>
    <s v="P5"/>
    <s v="O "/>
    <n v="8"/>
    <n v="2"/>
    <n v="3"/>
    <n v="2"/>
    <n v="2"/>
    <n v="1"/>
    <n v="10"/>
    <n v="2"/>
    <n v="6.666666666666667"/>
    <s v="Reprovado"/>
    <s v="Piorou (-8 valores, -80%)"/>
    <s v="MP"/>
    <n v="12"/>
  </r>
  <r>
    <n v="108675"/>
    <x v="75"/>
    <s v="claudia.magalhaes@ua.pt"/>
    <n v="8314"/>
    <s v="TP1"/>
    <s v="P5"/>
    <s v="O "/>
    <n v="11"/>
    <n v="3"/>
    <n v="3"/>
    <n v="2"/>
    <n v="1"/>
    <n v="2"/>
    <n v="11"/>
    <n v="2"/>
    <n v="8"/>
    <s v="Reprovado"/>
    <s v="Piorou (-9 valores, -81,8%)"/>
    <s v="MP"/>
    <n v="8"/>
  </r>
  <r>
    <n v="107584"/>
    <x v="76"/>
    <s v="beatrizparentepinto03@ua.pt"/>
    <n v="8314"/>
    <s v="TP2"/>
    <s v="P3"/>
    <s v="O "/>
    <n v="13"/>
    <n v="2"/>
    <n v="2"/>
    <n v="4"/>
    <n v="1"/>
    <n v="3"/>
    <n v="12"/>
    <n v="2"/>
    <n v="9"/>
    <s v="Reprovado"/>
    <s v="Piorou (-10 valores, -83,3%)"/>
    <s v="MP"/>
    <n v="5"/>
  </r>
  <r>
    <n v="108329"/>
    <x v="77"/>
    <s v="carolina.cardoso@ua.pt"/>
    <n v="8314"/>
    <s v="TP2"/>
    <s v="P2"/>
    <s v="O "/>
    <n v="17"/>
    <n v="2"/>
    <n v="1"/>
    <n v="4"/>
    <n v="2"/>
    <n v="1"/>
    <n v="10"/>
    <n v="2"/>
    <n v="9.6666666666666661"/>
    <s v="Reprovado"/>
    <s v="Piorou (-8 valores, -80%)"/>
    <s v="MP"/>
    <n v="3"/>
  </r>
  <r>
    <n v="107874"/>
    <x v="78"/>
    <s v="rita.crvieira@ua.pt"/>
    <n v="8314"/>
    <s v="TP1"/>
    <s v="P5"/>
    <s v="O "/>
    <n v="18"/>
    <n v="2"/>
    <n v="1"/>
    <n v="2"/>
    <n v="3"/>
    <n v="2"/>
    <n v="10"/>
    <n v="2"/>
    <n v="10"/>
    <s v="Aprovado"/>
    <s v="Piorou (-8 valores, -80%)"/>
    <m/>
    <s v="—"/>
  </r>
  <r>
    <n v="107517"/>
    <x v="79"/>
    <s v="adrianaoliveira@ua.pt"/>
    <n v="8314"/>
    <s v="TP1"/>
    <s v="P5"/>
    <s v="O "/>
    <n v="12"/>
    <n v="8"/>
    <n v="2"/>
    <n v="1"/>
    <n v="1"/>
    <n v="2"/>
    <n v="14"/>
    <n v="2"/>
    <n v="9.3333333333333339"/>
    <s v="Reprovado"/>
    <s v="Piorou (-12 valores, -85,7%)"/>
    <s v="MP"/>
    <n v="4"/>
  </r>
  <r>
    <n v="108513"/>
    <x v="80"/>
    <s v="beatrizcoelho@ua.pt"/>
    <n v="8314"/>
    <s v="TP2"/>
    <s v="P3"/>
    <s v="O "/>
    <n v="12"/>
    <n v="1"/>
    <n v="1"/>
    <n v="7"/>
    <n v="1"/>
    <n v="6"/>
    <n v="16"/>
    <n v="2"/>
    <n v="10"/>
    <s v="Aprovado"/>
    <s v="Piorou (-14 valores, -87,5%)"/>
    <m/>
    <s v="—"/>
  </r>
  <r>
    <n v="104342"/>
    <x v="81"/>
    <s v="bernardoye@ua.pt"/>
    <n v="8307"/>
    <s v="TP1"/>
    <s v="P5"/>
    <s v="O "/>
    <n v="14"/>
    <n v="2"/>
    <n v="1"/>
    <n v="8"/>
    <n v="2"/>
    <n v="3"/>
    <n v="16"/>
    <n v="2"/>
    <n v="10.666666666666666"/>
    <s v="Aprovado"/>
    <s v="Piorou (-14 valores, -87,5%)"/>
    <m/>
    <s v="—"/>
  </r>
  <r>
    <n v="108752"/>
    <x v="82"/>
    <s v="pedromgmartins@ua.pt"/>
    <n v="8314"/>
    <s v="TP1"/>
    <s v="P5"/>
    <s v="O "/>
    <n v="12"/>
    <n v="8"/>
    <n v="1"/>
    <n v="2"/>
    <n v="3"/>
    <n v="2"/>
    <n v="16"/>
    <n v="2"/>
    <n v="10"/>
    <s v="Aprovado"/>
    <s v="Piorou (-14 valores, -87,5%)"/>
    <m/>
    <s v="—"/>
  </r>
  <r>
    <n v="103712"/>
    <x v="83"/>
    <s v="marianafpinto@ua.pt"/>
    <n v="8264"/>
    <s v="TP1"/>
    <s v="P5"/>
    <s v="O "/>
    <n v="12"/>
    <n v="6"/>
    <n v="3"/>
    <n v="2"/>
    <n v="1"/>
    <n v="2"/>
    <n v="14"/>
    <n v="2"/>
    <n v="9.3333333333333339"/>
    <s v="Reprovado"/>
    <s v="Piorou (-12 valores, -85,7%)"/>
    <s v="MP"/>
    <n v="4"/>
  </r>
  <r>
    <n v="108849"/>
    <x v="84"/>
    <s v="miguelmexedo03@ua.pt"/>
    <n v="8314"/>
    <s v="TP1"/>
    <s v="P5"/>
    <s v="TP"/>
    <n v="11"/>
    <n v="1"/>
    <n v="1"/>
    <n v="2"/>
    <n v="2"/>
    <n v="4"/>
    <n v="10"/>
    <n v="2"/>
    <n v="7.666666666666667"/>
    <s v="Reprovado"/>
    <s v="Piorou (-8 valores, -80%)"/>
    <s v="MP"/>
    <n v="9"/>
  </r>
  <r>
    <n v="108868"/>
    <x v="85"/>
    <s v="xavier.pinto@ua.pt"/>
    <n v="8314"/>
    <s v="TP1"/>
    <s v="P6"/>
    <s v="O "/>
    <n v="12"/>
    <n v="2"/>
    <n v="2"/>
    <n v="1"/>
    <n v="11"/>
    <n v="1"/>
    <n v="17"/>
    <n v="2"/>
    <n v="10.333333333333334"/>
    <s v="Aprovado"/>
    <s v="Piorou (-15 valores, -88,2%)"/>
    <m/>
    <s v="—"/>
  </r>
  <r>
    <n v="102380"/>
    <x v="86"/>
    <s v="maria.sa@ua.pt"/>
    <n v="8220"/>
    <s v="TP1"/>
    <s v="P6"/>
    <s v="O "/>
    <n v="12"/>
    <n v="2"/>
    <n v="2"/>
    <n v="1"/>
    <n v="3"/>
    <n v="1"/>
    <n v="9"/>
    <n v="2"/>
    <n v="7.666666666666667"/>
    <s v="Reprovado"/>
    <s v="Piorou (-7 valores, -77,8%)"/>
    <s v="MP"/>
    <n v="9"/>
  </r>
  <r>
    <n v="107265"/>
    <x v="87"/>
    <s v="hapm@ua.pt"/>
    <n v="8314"/>
    <s v="TP1"/>
    <s v="P6"/>
    <s v="O "/>
    <n v="16"/>
    <n v="4"/>
    <n v="4"/>
    <n v="2"/>
    <n v="2"/>
    <n v="7"/>
    <n v="19"/>
    <n v="2"/>
    <n v="12.333333333333334"/>
    <s v="Aprovado"/>
    <s v="Piorou (-17 valores, -89,5%)"/>
    <m/>
    <s v="—"/>
  </r>
  <r>
    <n v="108280"/>
    <x v="88"/>
    <s v="picoto.francisco@ua.pt"/>
    <n v="8314"/>
    <s v="TP2"/>
    <s v="P3"/>
    <s v="O "/>
    <n v="12"/>
    <n v="1"/>
    <n v="1"/>
    <n v="4"/>
    <n v="1"/>
    <n v="3"/>
    <n v="10"/>
    <n v="2"/>
    <n v="8"/>
    <s v="Reprovado"/>
    <s v="Piorou (-8 valores, -80%)"/>
    <s v="MP"/>
    <n v="8"/>
  </r>
  <r>
    <n v="97610"/>
    <x v="89"/>
    <s v="pedro.murteira@ua.pt"/>
    <n v="8307"/>
    <s v="TP1"/>
    <s v="P6"/>
    <s v="O "/>
    <n v="11"/>
    <n v="3"/>
    <n v="1"/>
    <n v="8"/>
    <n v="2"/>
    <n v="2"/>
    <n v="16"/>
    <n v="2"/>
    <n v="9.6666666666666661"/>
    <s v="Reprovado"/>
    <s v="Piorou (-14 valores, -87,5%)"/>
    <s v="MP"/>
    <n v="3"/>
  </r>
  <r>
    <n v="93316"/>
    <x v="90"/>
    <s v="dassalmeida@ua.pt"/>
    <n v="8258"/>
    <s v="TP2"/>
    <s v="P3"/>
    <s v="O "/>
    <n v="18"/>
    <n v="2"/>
    <n v="6"/>
    <n v="4"/>
    <n v="4"/>
    <n v="1"/>
    <n v="17"/>
    <n v="2"/>
    <n v="12.333333333333334"/>
    <s v="Aprovado"/>
    <s v="Piorou (-15 valores, -88,2%)"/>
    <m/>
    <s v="—"/>
  </r>
  <r>
    <n v="110331"/>
    <x v="91"/>
    <s v="fmiguelesperanca@ua.pt"/>
    <n v="8220"/>
    <s v="TP1"/>
    <s v="P6"/>
    <s v="O "/>
    <n v="15"/>
    <n v="3"/>
    <n v="2"/>
    <n v="5"/>
    <n v="7"/>
    <n v="1"/>
    <n v="18"/>
    <n v="2"/>
    <n v="11.666666666666666"/>
    <s v="Aprovado"/>
    <s v="Piorou (-16 valores, -88,9%)"/>
    <m/>
    <s v="—"/>
  </r>
  <r>
    <n v="104807"/>
    <x v="92"/>
    <s v="tquintas@ua.pt"/>
    <n v="9179"/>
    <s v="TP1"/>
    <s v="P6"/>
    <s v="O "/>
    <n v="13"/>
    <n v="4"/>
    <n v="2"/>
    <n v="3"/>
    <n v="2"/>
    <n v="3"/>
    <n v="14"/>
    <n v="2"/>
    <n v="9.6666666666666661"/>
    <s v="Reprovado"/>
    <s v="Piorou (-12 valores, -85,7%)"/>
    <s v="MP"/>
    <n v="3"/>
  </r>
  <r>
    <n v="108679"/>
    <x v="93"/>
    <s v="pedromgf@ua.pt"/>
    <n v="8220"/>
    <s v="TP1"/>
    <s v="P6"/>
    <s v="O "/>
    <n v="13"/>
    <n v="1"/>
    <n v="1"/>
    <n v="4"/>
    <n v="5"/>
    <n v="3"/>
    <n v="14"/>
    <n v="2"/>
    <n v="9.6666666666666661"/>
    <s v="Reprovado"/>
    <s v="Piorou (-12 valores, -85,7%)"/>
    <s v="MP"/>
    <n v="3"/>
  </r>
  <r>
    <n v="103028"/>
    <x v="94"/>
    <s v="pmiguelsilvamendes@ua.pt"/>
    <n v="8240"/>
    <s v="TP1"/>
    <s v="P6"/>
    <s v="O "/>
    <n v="8"/>
    <n v="3"/>
    <n v="2"/>
    <n v="2"/>
    <n v="1"/>
    <n v="4"/>
    <n v="12"/>
    <n v="2"/>
    <n v="7.333333333333333"/>
    <s v="Reprovado"/>
    <s v="Piorou (-10 valores, -83,3%)"/>
    <s v="MP"/>
    <n v="10"/>
  </r>
  <r>
    <n v="105114"/>
    <x v="95"/>
    <s v="san.santos@ua.pt"/>
    <n v="8220"/>
    <s v="TP1"/>
    <s v="P6"/>
    <s v="O "/>
    <n v="9"/>
    <n v="1"/>
    <n v="2"/>
    <n v="1"/>
    <n v="2"/>
    <n v="2"/>
    <n v="8"/>
    <n v="2"/>
    <n v="6.333333333333333"/>
    <s v="Reprovado"/>
    <s v="Piorou (-6 valores, -75%)"/>
    <s v="MP"/>
    <n v="13"/>
  </r>
  <r>
    <n v="108800"/>
    <x v="96"/>
    <s v="ferreira.carol@ua.pt"/>
    <n v="8305"/>
    <s v="TP1"/>
    <s v="P6"/>
    <s v="O "/>
    <n v="13"/>
    <n v="5"/>
    <n v="5"/>
    <n v="1"/>
    <n v="1"/>
    <n v="7"/>
    <n v="19"/>
    <n v="2"/>
    <n v="11.333333333333334"/>
    <s v="Aprovado"/>
    <s v="Piorou (-17 valores, -89,5%)"/>
    <m/>
    <s v="—"/>
  </r>
  <r>
    <n v="108050"/>
    <x v="97"/>
    <s v="mariana.pribeiro@ua.pt"/>
    <n v="8220"/>
    <s v="TP1"/>
    <s v="P6"/>
    <s v="O "/>
    <n v="17"/>
    <n v="4"/>
    <n v="1"/>
    <n v="1"/>
    <n v="1"/>
    <n v="2"/>
    <n v="9"/>
    <n v="2"/>
    <n v="9.3333333333333339"/>
    <s v="Reprovado"/>
    <s v="Piorou (-7 valores, -77,8%)"/>
    <s v="MP"/>
    <n v="4"/>
  </r>
  <r>
    <n v="105491"/>
    <x v="98"/>
    <s v="joanafaria@ua.pt"/>
    <n v="8220"/>
    <s v="TP1"/>
    <s v="P6"/>
    <s v="O "/>
    <n v="11"/>
    <n v="3"/>
    <n v="2"/>
    <n v="1"/>
    <n v="2"/>
    <n v="1"/>
    <n v="9"/>
    <n v="2"/>
    <n v="7.333333333333333"/>
    <s v="Reprovado"/>
    <s v="Piorou (-7 valores, -77,8%)"/>
    <s v="MP"/>
    <n v="10"/>
  </r>
  <r>
    <n v="102976"/>
    <x v="99"/>
    <s v="jessi.costa@ua.pt"/>
    <n v="8220"/>
    <s v="TP1"/>
    <s v="P6"/>
    <s v="O "/>
    <n v="8"/>
    <n v="8"/>
    <n v="2"/>
    <n v="2"/>
    <n v="2"/>
    <n v="1"/>
    <n v="15"/>
    <n v="2"/>
    <n v="8.3333333333333339"/>
    <s v="Reprovado"/>
    <s v="Piorou (-13 valores, -86,7%)"/>
    <s v="MP"/>
    <n v="7"/>
  </r>
  <r>
    <n v="108826"/>
    <x v="100"/>
    <s v="jcnunes@ua.pt"/>
    <n v="8220"/>
    <s v="TP1"/>
    <s v="P6"/>
    <s v="O "/>
    <n v="13"/>
    <n v="4"/>
    <n v="1"/>
    <n v="1"/>
    <n v="1"/>
    <n v="1"/>
    <n v="8"/>
    <n v="2"/>
    <n v="7.666666666666667"/>
    <s v="Reprovado"/>
    <s v="Piorou (-6 valores, -75%)"/>
    <s v="MP"/>
    <n v="9"/>
  </r>
  <r>
    <n v="108436"/>
    <x v="101"/>
    <s v="ines.filipe@ua.pt"/>
    <n v="8220"/>
    <s v="TP1"/>
    <s v="P6"/>
    <s v="O "/>
    <n v="8"/>
    <n v="6"/>
    <n v="1"/>
    <n v="3"/>
    <n v="1"/>
    <n v="1"/>
    <n v="12"/>
    <n v="2"/>
    <n v="7.333333333333333"/>
    <s v="Reprovado"/>
    <s v="Piorou (-10 valores, -83,3%)"/>
    <s v="MP"/>
    <n v="10"/>
  </r>
  <r>
    <n v="107233"/>
    <x v="102"/>
    <s v="diogo.barata@ua.pt"/>
    <n v="8220"/>
    <s v="TP1"/>
    <s v="P7"/>
    <s v="O "/>
    <n v="9"/>
    <n v="1"/>
    <n v="3"/>
    <n v="1"/>
    <n v="2"/>
    <n v="8"/>
    <n v="15"/>
    <n v="2"/>
    <n v="8.6666666666666661"/>
    <s v="Reprovado"/>
    <s v="Piorou (-13 valores, -86,7%)"/>
    <s v="MP"/>
    <n v="6"/>
  </r>
  <r>
    <n v="103167"/>
    <x v="103"/>
    <s v="raquelrpinto@ua.pt"/>
    <n v="8220"/>
    <s v="TP1"/>
    <s v="P7"/>
    <s v="O "/>
    <n v="10"/>
    <n v="6"/>
    <n v="1"/>
    <n v="1"/>
    <n v="2"/>
    <n v="1"/>
    <n v="11"/>
    <n v="2"/>
    <n v="7.666666666666667"/>
    <s v="Reprovado"/>
    <s v="Piorou (-9 valores, -81,8%)"/>
    <s v="MP"/>
    <n v="9"/>
  </r>
  <r>
    <n v="108760"/>
    <x v="104"/>
    <s v="juliagoulart@ua.pt"/>
    <n v="8220"/>
    <s v="TP2"/>
    <s v="P3"/>
    <s v="O "/>
    <n v="12"/>
    <n v="1"/>
    <n v="1"/>
    <n v="3"/>
    <n v="1"/>
    <n v="1"/>
    <n v="7"/>
    <n v="2"/>
    <n v="7"/>
    <s v="Reprovado"/>
    <s v="Piorou (-5 valores, -71,4%)"/>
    <s v="MP"/>
    <n v="11"/>
  </r>
  <r>
    <n v="103326"/>
    <x v="105"/>
    <s v="renataalves@ua.pt"/>
    <n v="8220"/>
    <s v="TP2"/>
    <s v="P3"/>
    <s v="O "/>
    <n v="10"/>
    <n v="3"/>
    <n v="2"/>
    <n v="3"/>
    <n v="8"/>
    <n v="2"/>
    <n v="18"/>
    <n v="2"/>
    <n v="10"/>
    <s v="Aprovado"/>
    <s v="Piorou (-16 valores, -88,9%)"/>
    <m/>
    <s v="—"/>
  </r>
  <r>
    <n v="109152"/>
    <x v="106"/>
    <s v="irisfonseca@ua.pt"/>
    <n v="8220"/>
    <s v="TP1"/>
    <s v="P7"/>
    <s v="O "/>
    <n v="8"/>
    <n v="1"/>
    <n v="2"/>
    <n v="2"/>
    <n v="3"/>
    <n v="1"/>
    <n v="9"/>
    <n v="2"/>
    <n v="6.333333333333333"/>
    <s v="Reprovado"/>
    <s v="Piorou (-7 valores, -77,8%)"/>
    <s v="MP"/>
    <n v="13"/>
  </r>
  <r>
    <n v="107895"/>
    <x v="107"/>
    <s v="joaomorais9@ua.pt"/>
    <n v="8220"/>
    <s v="TP2"/>
    <s v="P2"/>
    <s v="O "/>
    <n v="11"/>
    <n v="1"/>
    <n v="1"/>
    <n v="2"/>
    <n v="3"/>
    <n v="5"/>
    <n v="12"/>
    <n v="2"/>
    <n v="8.3333333333333339"/>
    <s v="Reprovado"/>
    <s v="Piorou (-10 valores, -83,3%)"/>
    <s v="MP"/>
    <n v="7"/>
  </r>
  <r>
    <n v="107267"/>
    <x v="108"/>
    <s v="rlgn@ua.pt"/>
    <n v="8220"/>
    <s v="TP1"/>
    <s v="P7"/>
    <s v="O "/>
    <n v="10"/>
    <n v="4"/>
    <n v="1"/>
    <n v="4"/>
    <n v="1"/>
    <n v="2"/>
    <n v="12"/>
    <n v="2"/>
    <n v="8"/>
    <s v="Reprovado"/>
    <s v="Piorou (-10 valores, -83,3%)"/>
    <s v="MP"/>
    <n v="8"/>
  </r>
  <r>
    <n v="103309"/>
    <x v="109"/>
    <s v="juliana.ac@ua.pt"/>
    <n v="8220"/>
    <s v="TP2"/>
    <s v="P2"/>
    <s v="O "/>
    <n v="18"/>
    <n v="1"/>
    <n v="1"/>
    <n v="2"/>
    <n v="1"/>
    <n v="2"/>
    <n v="7"/>
    <n v="2"/>
    <n v="9"/>
    <s v="Reprovado"/>
    <s v="Piorou (-5 valores, -71,4%)"/>
    <s v="MP"/>
    <n v="5"/>
  </r>
  <r>
    <n v="99440"/>
    <x v="110"/>
    <s v="martaduarteluzes@ua.pt"/>
    <n v="8220"/>
    <s v="TP1"/>
    <s v="P7"/>
    <s v="O "/>
    <n v="8"/>
    <n v="1"/>
    <n v="2"/>
    <n v="1"/>
    <n v="1"/>
    <n v="10"/>
    <n v="15"/>
    <n v="2"/>
    <n v="8.3333333333333339"/>
    <s v="Reprovado"/>
    <s v="Piorou (-13 valores, -86,7%)"/>
    <s v="MP"/>
    <n v="7"/>
  </r>
  <r>
    <n v="93274"/>
    <x v="111"/>
    <s v="diogocardoso99@ua.pt"/>
    <n v="8258"/>
    <s v="TP1"/>
    <s v="P7"/>
    <s v="O "/>
    <n v="15"/>
    <n v="2"/>
    <n v="1"/>
    <n v="2"/>
    <n v="1"/>
    <n v="2"/>
    <n v="8"/>
    <n v="2"/>
    <n v="8.3333333333333339"/>
    <s v="Reprovado"/>
    <s v="Piorou (-6 valores, -75%)"/>
    <s v="MP"/>
    <n v="7"/>
  </r>
  <r>
    <n v="102859"/>
    <x v="112"/>
    <s v="vasco.lopes@ua.pt"/>
    <n v="8220"/>
    <s v="TP1"/>
    <s v="P7"/>
    <s v="O "/>
    <n v="13"/>
    <n v="1"/>
    <n v="2"/>
    <n v="2"/>
    <n v="1"/>
    <n v="2"/>
    <n v="8"/>
    <n v="2"/>
    <n v="7.666666666666667"/>
    <s v="Reprovado"/>
    <s v="Piorou (-6 valores, -75%)"/>
    <s v="MP"/>
    <n v="9"/>
  </r>
  <r>
    <n v="104088"/>
    <x v="113"/>
    <s v="leniaferreira01@ua.pt"/>
    <n v="8220"/>
    <s v="TP1"/>
    <s v="P7"/>
    <s v="O "/>
    <n v="17"/>
    <n v="2"/>
    <n v="1"/>
    <n v="1"/>
    <n v="1"/>
    <n v="2"/>
    <n v="7"/>
    <n v="2"/>
    <n v="8.6666666666666661"/>
    <s v="Reprovado"/>
    <s v="Piorou (-5 valores, -71,4%)"/>
    <s v="MP"/>
    <n v="6"/>
  </r>
  <r>
    <n v="102633"/>
    <x v="114"/>
    <s v="anafdlima@ua.pt"/>
    <n v="8220"/>
    <s v="TP2"/>
    <s v="P3"/>
    <s v="O "/>
    <n v="8"/>
    <n v="1"/>
    <n v="1"/>
    <n v="2"/>
    <n v="3"/>
    <n v="3"/>
    <n v="10"/>
    <n v="2"/>
    <n v="6.666666666666667"/>
    <s v="Reprovado"/>
    <s v="Piorou (-8 valores, -80%)"/>
    <s v="MP"/>
    <n v="12"/>
  </r>
  <r>
    <n v="108159"/>
    <x v="115"/>
    <s v="ana.b.batista@ua.pt"/>
    <n v="8220"/>
    <s v="TP1"/>
    <s v="P7"/>
    <s v="O "/>
    <n v="18"/>
    <n v="7"/>
    <n v="1"/>
    <n v="2"/>
    <n v="4"/>
    <n v="1"/>
    <n v="15"/>
    <n v="2"/>
    <n v="11.666666666666666"/>
    <s v="Aprovado"/>
    <s v="Piorou (-13 valores, -86,7%)"/>
    <m/>
    <s v="—"/>
  </r>
  <r>
    <n v="108461"/>
    <x v="116"/>
    <s v="alex.almeida@ua.pt"/>
    <n v="8220"/>
    <s v="TP2"/>
    <s v="P3"/>
    <s v="O "/>
    <n v="10"/>
    <n v="3"/>
    <n v="7"/>
    <n v="1"/>
    <n v="1"/>
    <n v="6"/>
    <n v="18"/>
    <n v="2"/>
    <n v="10"/>
    <s v="Aprovado"/>
    <s v="Piorou (-16 valores, -88,9%)"/>
    <m/>
    <s v="—"/>
  </r>
  <r>
    <n v="107635"/>
    <x v="117"/>
    <s v="anmargaridaa@ua.pt"/>
    <n v="8220"/>
    <s v="TP2"/>
    <s v="P3"/>
    <s v="O "/>
    <n v="18"/>
    <n v="4"/>
    <n v="5"/>
    <n v="1"/>
    <n v="3"/>
    <n v="2"/>
    <n v="15"/>
    <n v="2"/>
    <n v="11.666666666666666"/>
    <s v="Aprovado"/>
    <s v="Piorou (-13 valores, -86,7%)"/>
    <m/>
    <s v="—"/>
  </r>
  <r>
    <n v="102716"/>
    <x v="118"/>
    <s v="marianatferreira@ua.pt"/>
    <n v="8220"/>
    <s v="TP1"/>
    <s v="P7"/>
    <s v="O "/>
    <n v="15"/>
    <n v="1"/>
    <n v="1"/>
    <n v="3"/>
    <n v="2"/>
    <n v="4"/>
    <n v="11"/>
    <n v="2"/>
    <n v="9.3333333333333339"/>
    <s v="Reprovado"/>
    <s v="Piorou (-9 valores, -81,8%)"/>
    <s v="MP"/>
    <n v="4"/>
  </r>
  <r>
    <n v="107347"/>
    <x v="119"/>
    <s v="leonor.nog@ua.pt"/>
    <n v="8220"/>
    <s v="TP2"/>
    <s v="P3"/>
    <s v="O "/>
    <n v="10"/>
    <n v="1"/>
    <n v="1"/>
    <n v="4"/>
    <n v="3"/>
    <n v="2"/>
    <n v="11"/>
    <n v="2"/>
    <n v="7.666666666666667"/>
    <s v="Reprovado"/>
    <s v="Piorou (-9 valores, -81,8%)"/>
    <s v="MP"/>
    <n v="9"/>
  </r>
  <r>
    <n v="110409"/>
    <x v="120"/>
    <s v="daniela.fil@ua.pt"/>
    <n v="8220"/>
    <s v="TP2"/>
    <s v="P1a"/>
    <s v="O "/>
    <n v="17"/>
    <n v="1"/>
    <n v="1"/>
    <n v="1"/>
    <n v="1"/>
    <n v="3"/>
    <n v="7"/>
    <n v="2"/>
    <n v="8.6666666666666661"/>
    <s v="Reprovado"/>
    <s v="Piorou (-5 valores, -71,4%)"/>
    <s v="MP"/>
    <n v="6"/>
  </r>
  <r>
    <n v="108540"/>
    <x v="121"/>
    <s v="paulaccosta@ua.pt"/>
    <n v="8220"/>
    <s v="TP2"/>
    <s v="P1a"/>
    <s v="O "/>
    <n v="10"/>
    <n v="6"/>
    <n v="2"/>
    <n v="2"/>
    <n v="2"/>
    <n v="4"/>
    <n v="16"/>
    <n v="2"/>
    <n v="9.3333333333333339"/>
    <s v="Reprovado"/>
    <s v="Piorou (-14 valores, -87,5%)"/>
    <s v="MP"/>
    <n v="4"/>
  </r>
  <r>
    <n v="103112"/>
    <x v="122"/>
    <s v="marga.oliveira@ua.pt"/>
    <n v="8220"/>
    <s v="TP2"/>
    <s v="P2"/>
    <s v="O "/>
    <n v="11"/>
    <n v="3"/>
    <n v="4"/>
    <n v="1"/>
    <n v="1"/>
    <n v="1"/>
    <n v="10"/>
    <n v="2"/>
    <n v="7.666666666666667"/>
    <s v="Reprovado"/>
    <s v="Piorou (-8 valores, -80%)"/>
    <s v="MP"/>
    <n v="9"/>
  </r>
  <r>
    <n v="111224"/>
    <x v="123"/>
    <s v="matteo.marrocco@ua.pt"/>
    <n v="1000"/>
    <s v="TP2"/>
    <s v="P1a"/>
    <s v="O "/>
    <n v="11"/>
    <n v="1"/>
    <n v="2"/>
    <n v="3"/>
    <n v="2"/>
    <n v="6"/>
    <n v="14"/>
    <n v="2"/>
    <n v="9"/>
    <s v="Reprovado"/>
    <s v="Piorou (-12 valores, -85,7%)"/>
    <s v="MP"/>
    <n v="5"/>
  </r>
  <r>
    <n v="102150"/>
    <x v="124"/>
    <s v="antonio.iglesias@ua.pt"/>
    <n v="8220"/>
    <s v="TP1"/>
    <s v="P8"/>
    <s v="O "/>
    <n v="10"/>
    <n v="1"/>
    <n v="2"/>
    <n v="6"/>
    <n v="3"/>
    <n v="7"/>
    <n v="19"/>
    <n v="2"/>
    <n v="10.333333333333334"/>
    <s v="Aprovado"/>
    <s v="Piorou (-17 valores, -89,5%)"/>
    <m/>
    <s v="—"/>
  </r>
  <r>
    <n v="107185"/>
    <x v="125"/>
    <s v="joao.afonso.salmeida@ua.pt"/>
    <n v="8220"/>
    <s v="TP2"/>
    <s v="P8"/>
    <s v="O "/>
    <n v="11"/>
    <n v="3"/>
    <n v="1"/>
    <n v="4"/>
    <n v="1"/>
    <n v="1"/>
    <n v="10"/>
    <n v="2"/>
    <n v="7.666666666666667"/>
    <s v="Reprovado"/>
    <s v="Piorou (-8 valores, -80%)"/>
    <s v="MP"/>
    <n v="9"/>
  </r>
  <r>
    <n v="104229"/>
    <x v="126"/>
    <s v="anaaida@ua.pt"/>
    <n v="8220"/>
    <s v="TP2"/>
    <s v="P8"/>
    <s v="O "/>
    <n v="12"/>
    <n v="3"/>
    <n v="1"/>
    <n v="1"/>
    <n v="3"/>
    <n v="1"/>
    <n v="9"/>
    <n v="2"/>
    <n v="7.666666666666667"/>
    <s v="Reprovado"/>
    <s v="Piorou (-7 valores, -77,8%)"/>
    <s v="MP"/>
    <n v="9"/>
  </r>
  <r>
    <n v="103235"/>
    <x v="127"/>
    <s v="berna.oliveira@ua.pt"/>
    <n v="8220"/>
    <s v="TP2"/>
    <s v="P1a"/>
    <s v="O "/>
    <n v="9"/>
    <n v="2"/>
    <n v="1"/>
    <n v="1"/>
    <n v="2"/>
    <n v="2"/>
    <n v="8"/>
    <n v="2"/>
    <n v="6.333333333333333"/>
    <s v="Reprovado"/>
    <s v="Piorou (-6 valores, -75%)"/>
    <s v="MP"/>
    <n v="13"/>
  </r>
  <r>
    <n v="110719"/>
    <x v="128"/>
    <s v="carol.melo@ua.pt"/>
    <n v="8220"/>
    <s v="TP1"/>
    <s v="P7"/>
    <s v="O "/>
    <n v="10"/>
    <n v="1"/>
    <n v="1"/>
    <n v="1"/>
    <n v="3"/>
    <n v="2"/>
    <n v="8"/>
    <n v="2"/>
    <n v="6.666666666666667"/>
    <s v="Reprovado"/>
    <s v="Piorou (-6 valores, -75%)"/>
    <s v="MP"/>
    <n v="12"/>
  </r>
  <r>
    <n v="102669"/>
    <x v="129"/>
    <s v="h.caldeira@ua.pt"/>
    <n v="8220"/>
    <s v="TP2"/>
    <s v="P1"/>
    <s v="O "/>
    <n v="17"/>
    <n v="3"/>
    <n v="1"/>
    <n v="2"/>
    <n v="1"/>
    <n v="2"/>
    <n v="9"/>
    <n v="2"/>
    <n v="9.3333333333333339"/>
    <s v="Reprovado"/>
    <s v="Piorou (-7 valores, -77,8%)"/>
    <s v="MP"/>
    <n v="4"/>
  </r>
  <r>
    <n v="108113"/>
    <x v="130"/>
    <s v="joana.gaspar@ua.pt"/>
    <n v="8220"/>
    <s v="TP1"/>
    <s v="P1a"/>
    <s v="O "/>
    <n v="18"/>
    <n v="2"/>
    <n v="3"/>
    <n v="1"/>
    <n v="1"/>
    <n v="1"/>
    <n v="8"/>
    <n v="2"/>
    <n v="9.3333333333333339"/>
    <s v="Reprovado"/>
    <s v="Piorou (-6 valores, -75%)"/>
    <s v="MP"/>
    <n v="4"/>
  </r>
  <r>
    <n v="108204"/>
    <x v="131"/>
    <s v="mar.ant@ua.pt"/>
    <n v="8220"/>
    <s v="TP2"/>
    <s v="P1a"/>
    <s v="O "/>
    <n v="9"/>
    <n v="1"/>
    <n v="5"/>
    <n v="2"/>
    <n v="1"/>
    <n v="2"/>
    <n v="11"/>
    <n v="2"/>
    <n v="7.333333333333333"/>
    <s v="Reprovado"/>
    <s v="Piorou (-9 valores, -81,8%)"/>
    <s v="MP"/>
    <n v="10"/>
  </r>
  <r>
    <n v="107356"/>
    <x v="132"/>
    <s v="raquelarraiolos@ua.pt"/>
    <n v="8220"/>
    <s v="TP2"/>
    <s v="P9"/>
    <s v="O "/>
    <n v="12"/>
    <n v="1"/>
    <n v="1"/>
    <n v="2"/>
    <n v="3"/>
    <n v="2"/>
    <n v="9"/>
    <n v="2"/>
    <n v="7.666666666666667"/>
    <s v="Reprovado"/>
    <s v="Piorou (-7 valores, -77,8%)"/>
    <s v="MP"/>
    <n v="9"/>
  </r>
  <r>
    <n v="102011"/>
    <x v="133"/>
    <s v="cfmartins@ua.pt"/>
    <n v="8220"/>
    <s v="TP2"/>
    <s v="P2"/>
    <s v="O "/>
    <n v="18"/>
    <n v="1"/>
    <n v="1"/>
    <n v="4"/>
    <n v="3"/>
    <n v="3"/>
    <n v="12"/>
    <n v="2"/>
    <n v="10.666666666666666"/>
    <s v="Aprovado"/>
    <s v="Piorou (-10 valores, -83,3%)"/>
    <m/>
    <s v="—"/>
  </r>
  <r>
    <n v="104183"/>
    <x v="134"/>
    <s v="lilianacunha02@ua.pt"/>
    <n v="8220"/>
    <s v="TP2"/>
    <s v="P1"/>
    <s v="O "/>
    <n v="14"/>
    <n v="1"/>
    <n v="2"/>
    <n v="3"/>
    <n v="5"/>
    <n v="1"/>
    <n v="12"/>
    <n v="2"/>
    <n v="9.3333333333333339"/>
    <s v="Reprovado"/>
    <s v="Piorou (-10 valores, -83,3%)"/>
    <s v="MP"/>
    <n v="4"/>
  </r>
  <r>
    <n v="108629"/>
    <x v="135"/>
    <s v="carol.afonso@ua.pt"/>
    <n v="8220"/>
    <s v="TP2"/>
    <s v="P9"/>
    <s v="O "/>
    <n v="16"/>
    <n v="2"/>
    <n v="1"/>
    <n v="7"/>
    <n v="5"/>
    <n v="4"/>
    <n v="19"/>
    <n v="2"/>
    <n v="12.333333333333334"/>
    <s v="Aprovado"/>
    <s v="Piorou (-17 valores, -89,5%)"/>
    <m/>
    <s v="—"/>
  </r>
  <r>
    <n v="102743"/>
    <x v="136"/>
    <s v="catarinasantosrodrigues@ua.pt"/>
    <n v="8220"/>
    <s v="TP1"/>
    <s v="P5"/>
    <s v="O "/>
    <n v="10"/>
    <n v="1"/>
    <n v="4"/>
    <n v="8"/>
    <n v="5"/>
    <n v="1"/>
    <n v="19"/>
    <n v="2"/>
    <n v="10.333333333333334"/>
    <s v="Aprovado"/>
    <s v="Piorou (-17 valores, -89,5%)"/>
    <m/>
    <s v="—"/>
  </r>
  <r>
    <n v="108654"/>
    <x v="137"/>
    <s v="milopes@ua.pt"/>
    <n v="8220"/>
    <s v="TP2"/>
    <s v="P9"/>
    <s v="TP"/>
    <n v="11"/>
    <n v="1"/>
    <n v="2"/>
    <n v="6"/>
    <n v="2"/>
    <n v="1"/>
    <n v="12"/>
    <n v="2"/>
    <n v="8.3333333333333339"/>
    <s v="Reprovado"/>
    <s v="Piorou (-10 valores, -83,3%)"/>
    <s v="MP"/>
    <n v="7"/>
  </r>
  <r>
    <n v="108869"/>
    <x v="138"/>
    <s v="ana.marg@ua.pt"/>
    <n v="8220"/>
    <s v="TP1"/>
    <s v="P8"/>
    <s v="O "/>
    <n v="8"/>
    <n v="2"/>
    <n v="1"/>
    <n v="3"/>
    <n v="2"/>
    <n v="1"/>
    <n v="9"/>
    <n v="2"/>
    <n v="6.333333333333333"/>
    <s v="Reprovado"/>
    <s v="Piorou (-7 valores, -77,8%)"/>
    <s v="MP"/>
    <n v="13"/>
  </r>
  <r>
    <n v="103761"/>
    <x v="139"/>
    <s v="azevedocarlos@ua.pt"/>
    <n v="8220"/>
    <s v="TP2"/>
    <s v="P1"/>
    <s v="O "/>
    <n v="8"/>
    <n v="1"/>
    <n v="5"/>
    <n v="3"/>
    <n v="1"/>
    <n v="8"/>
    <n v="18"/>
    <n v="2"/>
    <n v="9.3333333333333339"/>
    <s v="Reprovado"/>
    <s v="Piorou (-16 valores, -88,9%)"/>
    <s v="MP"/>
    <n v="4"/>
  </r>
  <r>
    <n v="107208"/>
    <x v="140"/>
    <s v="edgarjsilva19@ua.pt"/>
    <n v="8220"/>
    <s v="TP2"/>
    <s v="P1a"/>
    <s v="O "/>
    <n v="14"/>
    <n v="1"/>
    <n v="2"/>
    <n v="5"/>
    <n v="3"/>
    <n v="1"/>
    <n v="12"/>
    <n v="2"/>
    <n v="9.3333333333333339"/>
    <s v="Reprovado"/>
    <s v="Piorou (-10 valores, -83,3%)"/>
    <s v="MP"/>
    <n v="4"/>
  </r>
  <r>
    <n v="103314"/>
    <x v="141"/>
    <s v="madalenanabais@ua.pt"/>
    <n v="8220"/>
    <s v="TP2"/>
    <s v="P3"/>
    <s v="O "/>
    <n v="8"/>
    <n v="1"/>
    <n v="3"/>
    <n v="3"/>
    <n v="4"/>
    <n v="3"/>
    <n v="14"/>
    <n v="2"/>
    <n v="8"/>
    <s v="Reprovado"/>
    <s v="Piorou (-12 valores, -85,7%)"/>
    <s v="MP"/>
    <n v="8"/>
  </r>
  <r>
    <n v="109150"/>
    <x v="142"/>
    <s v="inessantosmartins@ua.pt"/>
    <n v="8220"/>
    <s v="TP2"/>
    <s v="P1a"/>
    <s v="O "/>
    <n v="14"/>
    <n v="3"/>
    <n v="4"/>
    <n v="4"/>
    <n v="1"/>
    <n v="2"/>
    <n v="14"/>
    <n v="2"/>
    <n v="10"/>
    <s v="Aprovado"/>
    <s v="Piorou (-12 valores, -85,7%)"/>
    <m/>
    <s v="—"/>
  </r>
  <r>
    <n v="105431"/>
    <x v="143"/>
    <s v="dag2@ua.pt"/>
    <n v="8220"/>
    <s v="TP1"/>
    <s v="P7"/>
    <s v="O "/>
    <n v="11"/>
    <n v="1"/>
    <n v="2"/>
    <n v="2"/>
    <n v="7"/>
    <n v="6"/>
    <n v="18"/>
    <n v="2"/>
    <n v="10.333333333333334"/>
    <s v="Aprovado"/>
    <s v="Piorou (-16 valores, -88,9%)"/>
    <m/>
    <s v="—"/>
  </r>
  <r>
    <n v="103768"/>
    <x v="144"/>
    <s v="mmrocha@ua.pt"/>
    <n v="8258"/>
    <s v="TP2"/>
    <s v="P1a"/>
    <s v="O "/>
    <n v="18"/>
    <n v="2"/>
    <n v="3"/>
    <n v="4"/>
    <n v="2"/>
    <n v="2"/>
    <n v="13"/>
    <n v="2"/>
    <n v="11"/>
    <s v="Aprovado"/>
    <s v="Piorou (-11 valores, -84,6%)"/>
    <m/>
    <s v="—"/>
  </r>
  <r>
    <n v="98007"/>
    <x v="145"/>
    <s v="beatrizppires@ua.pt"/>
    <n v="8220"/>
    <s v="TP2"/>
    <s v="P1a"/>
    <s v="O "/>
    <n v="11"/>
    <n v="1"/>
    <n v="3"/>
    <n v="2"/>
    <n v="1"/>
    <n v="1"/>
    <n v="8"/>
    <n v="2"/>
    <n v="7"/>
    <s v="Reprovado"/>
    <s v="Piorou (-6 valores, -75%)"/>
    <s v="MP"/>
    <n v="11"/>
  </r>
  <r>
    <n v="107594"/>
    <x v="146"/>
    <s v="catarina.costa21@ua.pt"/>
    <n v="8220"/>
    <s v="TP2"/>
    <s v="P2"/>
    <s v="O "/>
    <n v="16"/>
    <n v="4"/>
    <n v="2"/>
    <n v="2"/>
    <n v="1"/>
    <n v="4"/>
    <n v="13"/>
    <n v="2"/>
    <n v="10.333333333333334"/>
    <s v="Aprovado"/>
    <s v="Piorou (-11 valores, -84,6%)"/>
    <m/>
    <s v="—"/>
  </r>
  <r>
    <n v="107319"/>
    <x v="147"/>
    <s v="mvlima@ua.pt"/>
    <n v="8220"/>
    <s v="TP2"/>
    <s v="P1"/>
    <s v="O "/>
    <n v="16"/>
    <n v="5"/>
    <n v="2"/>
    <n v="3"/>
    <n v="3"/>
    <n v="1"/>
    <n v="14"/>
    <n v="2"/>
    <n v="10.666666666666666"/>
    <s v="Aprovado"/>
    <s v="Piorou (-12 valores, -85,7%)"/>
    <m/>
    <s v="—"/>
  </r>
  <r>
    <n v="99397"/>
    <x v="148"/>
    <s v="joanagf@ua.pt"/>
    <n v="8220"/>
    <s v="TP2"/>
    <s v="P1"/>
    <s v="O "/>
    <n v="16"/>
    <n v="2"/>
    <n v="3"/>
    <n v="1"/>
    <n v="1"/>
    <n v="2"/>
    <n v="9"/>
    <n v="2"/>
    <n v="9"/>
    <s v="Reprovado"/>
    <s v="Piorou (-7 valores, -77,8%)"/>
    <s v="MP"/>
    <n v="5"/>
  </r>
  <r>
    <n v="105127"/>
    <x v="149"/>
    <s v="pedro.caio@ua.pt"/>
    <n v="8258"/>
    <s v="TP1"/>
    <s v="P1a"/>
    <s v="O "/>
    <n v="10"/>
    <n v="2"/>
    <n v="3"/>
    <n v="5"/>
    <n v="3"/>
    <n v="6"/>
    <n v="19"/>
    <n v="2"/>
    <n v="10.333333333333334"/>
    <s v="Aprovado"/>
    <s v="Piorou (-17 valores, -89,5%)"/>
    <m/>
    <s v="—"/>
  </r>
  <r>
    <n v="105083"/>
    <x v="150"/>
    <s v="margaridacmoreira18@ua.pt"/>
    <n v="8220"/>
    <s v="TP1"/>
    <s v="P1a"/>
    <s v="O "/>
    <n v="11"/>
    <n v="4"/>
    <n v="4"/>
    <n v="2"/>
    <n v="1"/>
    <n v="7"/>
    <n v="18"/>
    <n v="2"/>
    <n v="10.333333333333334"/>
    <s v="Aprovado"/>
    <s v="Piorou (-16 valores, -88,9%)"/>
    <m/>
    <s v="—"/>
  </r>
  <r>
    <n v="109162"/>
    <x v="151"/>
    <s v="goncaloalbino@ua.pt"/>
    <n v="8220"/>
    <s v="TP2"/>
    <s v="P1a"/>
    <s v="O "/>
    <n v="10"/>
    <n v="1"/>
    <n v="2"/>
    <n v="3"/>
    <n v="2"/>
    <n v="2"/>
    <n v="10"/>
    <n v="2"/>
    <n v="7.333333333333333"/>
    <s v="Reprovado"/>
    <s v="Piorou (-8 valores, -80%)"/>
    <s v="MP"/>
    <n v="10"/>
  </r>
  <r>
    <n v="108225"/>
    <x v="152"/>
    <s v="ines.i.o.r@ua.pt"/>
    <n v="8220"/>
    <s v="TP2"/>
    <s v="P1"/>
    <s v="O "/>
    <n v="8"/>
    <n v="1"/>
    <n v="1"/>
    <n v="2"/>
    <n v="1"/>
    <n v="3"/>
    <n v="8"/>
    <n v="2"/>
    <n v="6"/>
    <s v="Reprovado"/>
    <s v="Piorou (-6 valores, -75%)"/>
    <s v="MP"/>
    <n v="14"/>
  </r>
  <r>
    <n v="105880"/>
    <x v="153"/>
    <s v="nunes.gomes@ua.pt"/>
    <n v="1000"/>
    <s v="TP2"/>
    <s v="P2"/>
    <s v="O "/>
    <n v="16"/>
    <n v="6"/>
    <n v="2"/>
    <n v="6"/>
    <n v="1"/>
    <n v="1"/>
    <n v="16"/>
    <n v="2"/>
    <n v="11.333333333333334"/>
    <s v="Aprovado"/>
    <s v="Piorou (-14 valores, -87,5%)"/>
    <m/>
    <s v="—"/>
  </r>
  <r>
    <n v="108078"/>
    <x v="154"/>
    <s v="duarteteles@ua.pt"/>
    <n v="8220"/>
    <s v="TP1"/>
    <s v="P3"/>
    <s v="O "/>
    <n v="16"/>
    <n v="1"/>
    <n v="1"/>
    <n v="4"/>
    <n v="4"/>
    <n v="2"/>
    <n v="12"/>
    <n v="2"/>
    <n v="10"/>
    <s v="Aprovado"/>
    <s v="Piorou (-10 valores, -83,3%)"/>
    <m/>
    <s v="—"/>
  </r>
  <r>
    <n v="108146"/>
    <x v="155"/>
    <s v="carolinarodriguesrabacal@ua.pt"/>
    <n v="8220"/>
    <s v="TP2"/>
    <s v="P1a"/>
    <s v="O "/>
    <n v="11"/>
    <n v="2"/>
    <n v="3"/>
    <n v="7"/>
    <n v="1"/>
    <n v="3"/>
    <n v="16"/>
    <n v="2"/>
    <n v="9.6666666666666661"/>
    <s v="Reprovado"/>
    <s v="Piorou (-14 valores, -87,5%)"/>
    <s v="MP"/>
    <n v="3"/>
  </r>
  <r>
    <n v="102437"/>
    <x v="156"/>
    <s v="juliaganchas@ua.pt"/>
    <n v="8220"/>
    <s v="TP2"/>
    <s v="P1a"/>
    <s v="O "/>
    <n v="16"/>
    <n v="2"/>
    <n v="1"/>
    <n v="2"/>
    <n v="9"/>
    <n v="2"/>
    <n v="16"/>
    <n v="2"/>
    <n v="11.333333333333334"/>
    <s v="Aprovado"/>
    <s v="Piorou (-14 valores, -87,5%)"/>
    <m/>
    <s v="—"/>
  </r>
  <r>
    <n v="97876"/>
    <x v="157"/>
    <s v="maria.sampaio@ua.pt"/>
    <n v="8220"/>
    <s v="TP2"/>
    <s v="P10"/>
    <s v="O "/>
    <n v="18"/>
    <n v="3"/>
    <n v="3"/>
    <n v="1"/>
    <n v="1"/>
    <n v="1"/>
    <n v="9"/>
    <n v="2"/>
    <n v="9.6666666666666661"/>
    <s v="Reprovado"/>
    <s v="Piorou (-7 valores, -77,8%)"/>
    <s v="MP"/>
    <n v="3"/>
  </r>
  <r>
    <n v="103910"/>
    <x v="158"/>
    <s v="alexandradias@ua.pt"/>
    <n v="8220"/>
    <s v="TP2"/>
    <s v="P5"/>
    <s v="O "/>
    <n v="10"/>
    <n v="1"/>
    <n v="1"/>
    <n v="1"/>
    <n v="1"/>
    <n v="3"/>
    <n v="7"/>
    <n v="2"/>
    <n v="6.333333333333333"/>
    <s v="Reprovado"/>
    <s v="Piorou (-5 valores, -71,4%)"/>
    <s v="MP"/>
    <n v="13"/>
  </r>
  <r>
    <m/>
    <x v="159"/>
    <m/>
    <m/>
    <m/>
    <m/>
    <m/>
    <m/>
    <m/>
    <m/>
    <m/>
    <m/>
    <m/>
    <m/>
    <m/>
    <m/>
    <m/>
    <m/>
    <m/>
    <m/>
  </r>
  <r>
    <m/>
    <x v="159"/>
    <m/>
    <m/>
    <m/>
    <m/>
    <m/>
    <m/>
    <m/>
    <m/>
    <m/>
    <m/>
    <m/>
    <m/>
    <m/>
    <m/>
    <m/>
    <m/>
    <m/>
    <m/>
  </r>
  <r>
    <m/>
    <x v="160"/>
    <n v="0"/>
    <m/>
    <m/>
    <m/>
    <m/>
    <m/>
    <m/>
    <m/>
    <m/>
    <m/>
    <m/>
    <m/>
    <m/>
    <m/>
    <m/>
    <m/>
    <m/>
    <m/>
  </r>
  <r>
    <m/>
    <x v="161"/>
    <n v="159"/>
    <m/>
    <m/>
    <m/>
    <m/>
    <m/>
    <m/>
    <m/>
    <m/>
    <m/>
    <m/>
    <m/>
    <m/>
    <m/>
    <m/>
    <m/>
    <m/>
    <m/>
  </r>
  <r>
    <m/>
    <x v="162"/>
    <n v="58"/>
    <m/>
    <m/>
    <m/>
    <m/>
    <m/>
    <m/>
    <m/>
    <m/>
    <m/>
    <m/>
    <m/>
    <m/>
    <m/>
    <m/>
    <m/>
    <m/>
    <m/>
  </r>
  <r>
    <m/>
    <x v="163"/>
    <n v="101"/>
    <m/>
    <m/>
    <m/>
    <m/>
    <m/>
    <m/>
    <m/>
    <m/>
    <m/>
    <m/>
    <m/>
    <m/>
    <m/>
    <m/>
    <m/>
    <m/>
    <m/>
  </r>
  <r>
    <m/>
    <x v="164"/>
    <s v="36,5%"/>
    <m/>
    <m/>
    <m/>
    <m/>
    <m/>
    <m/>
    <m/>
    <m/>
    <m/>
    <m/>
    <m/>
    <m/>
    <m/>
    <m/>
    <m/>
    <m/>
    <m/>
  </r>
  <r>
    <m/>
    <x v="165"/>
    <s v="9,22"/>
    <m/>
    <m/>
    <m/>
    <m/>
    <m/>
    <m/>
    <m/>
    <m/>
    <m/>
    <m/>
    <m/>
    <m/>
    <m/>
    <m/>
    <m/>
    <m/>
    <m/>
  </r>
  <r>
    <m/>
    <x v="166"/>
    <s v="13,00"/>
    <m/>
    <m/>
    <m/>
    <m/>
    <m/>
    <m/>
    <m/>
    <m/>
    <m/>
    <m/>
    <m/>
    <m/>
    <m/>
    <m/>
    <m/>
    <m/>
    <m/>
  </r>
  <r>
    <m/>
    <x v="167"/>
    <s v="6,00"/>
    <m/>
    <m/>
    <m/>
    <m/>
    <m/>
    <m/>
    <m/>
    <m/>
    <m/>
    <m/>
    <m/>
    <m/>
    <m/>
    <m/>
    <m/>
    <m/>
    <m/>
  </r>
  <r>
    <m/>
    <x v="168"/>
    <s v="9,33"/>
    <m/>
    <m/>
    <m/>
    <m/>
    <m/>
    <m/>
    <m/>
    <m/>
    <m/>
    <m/>
    <m/>
    <m/>
    <m/>
    <m/>
    <m/>
    <m/>
    <m/>
  </r>
  <r>
    <m/>
    <x v="169"/>
    <s v="1,58"/>
    <m/>
    <m/>
    <m/>
    <m/>
    <m/>
    <m/>
    <m/>
    <m/>
    <m/>
    <m/>
    <m/>
    <m/>
    <m/>
    <m/>
    <m/>
    <m/>
    <m/>
  </r>
  <r>
    <m/>
    <x v="170"/>
    <n v="0"/>
    <m/>
    <m/>
    <m/>
    <m/>
    <m/>
    <m/>
    <m/>
    <m/>
    <m/>
    <m/>
    <m/>
    <m/>
    <m/>
    <m/>
    <m/>
    <m/>
    <m/>
  </r>
  <r>
    <m/>
    <x v="171"/>
    <n v="0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9613D-601E-472C-9A0E-86CCAE62E453}" name="TabelaDinamica" cacheId="1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1:C18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5C84F3-0C5F-4BFD-A294-A691692665ED}" name="TabelaDinamica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1:C18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753D37-6DCE-4F66-BAF2-F132850506A1}" name="TabelaDinamica" cacheId="2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1:C18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C940B5-565F-4F60-919D-10630FF51CE0}" name="TabelaDinamica" cacheId="3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1:B174" firstHeaderRow="1" firstDataRow="1" firstDataCol="1"/>
  <pivotFields count="20">
    <pivotField showAll="0"/>
    <pivotField axis="axisRow" showAll="0">
      <items count="173">
        <item x="79"/>
        <item x="29"/>
        <item x="18"/>
        <item x="158"/>
        <item x="48"/>
        <item x="61"/>
        <item x="116"/>
        <item x="126"/>
        <item x="115"/>
        <item x="77"/>
        <item x="53"/>
        <item x="1"/>
        <item x="114"/>
        <item x="117"/>
        <item x="138"/>
        <item x="47"/>
        <item x="132"/>
        <item x="78"/>
        <item x="33"/>
        <item x="36"/>
        <item x="124"/>
        <item x="162"/>
        <item x="73"/>
        <item x="80"/>
        <item x="17"/>
        <item x="76"/>
        <item x="145"/>
        <item x="65"/>
        <item x="81"/>
        <item x="127"/>
        <item x="153"/>
        <item x="72"/>
        <item x="139"/>
        <item x="135"/>
        <item x="22"/>
        <item x="133"/>
        <item x="67"/>
        <item x="128"/>
        <item x="155"/>
        <item x="146"/>
        <item x="26"/>
        <item x="136"/>
        <item x="75"/>
        <item x="20"/>
        <item x="120"/>
        <item x="4"/>
        <item x="169"/>
        <item x="143"/>
        <item x="90"/>
        <item x="111"/>
        <item x="11"/>
        <item x="16"/>
        <item x="102"/>
        <item x="51"/>
        <item x="154"/>
        <item x="140"/>
        <item x="8"/>
        <item x="10"/>
        <item x="105"/>
        <item x="52"/>
        <item x="160"/>
        <item x="91"/>
        <item x="38"/>
        <item x="71"/>
        <item x="68"/>
        <item x="88"/>
        <item x="44"/>
        <item x="60"/>
        <item x="151"/>
        <item x="129"/>
        <item x="87"/>
        <item x="101"/>
        <item x="142"/>
        <item x="152"/>
        <item x="19"/>
        <item x="45"/>
        <item x="106"/>
        <item x="99"/>
        <item x="6"/>
        <item x="148"/>
        <item x="130"/>
        <item x="5"/>
        <item x="98"/>
        <item x="125"/>
        <item x="31"/>
        <item x="13"/>
        <item x="107"/>
        <item x="25"/>
        <item x="37"/>
        <item x="69"/>
        <item x="100"/>
        <item x="7"/>
        <item x="9"/>
        <item x="156"/>
        <item x="104"/>
        <item x="109"/>
        <item x="43"/>
        <item x="113"/>
        <item x="30"/>
        <item x="119"/>
        <item x="134"/>
        <item x="35"/>
        <item x="66"/>
        <item x="41"/>
        <item x="141"/>
        <item x="131"/>
        <item x="55"/>
        <item x="150"/>
        <item x="122"/>
        <item x="64"/>
        <item x="96"/>
        <item x="34"/>
        <item x="39"/>
        <item x="56"/>
        <item x="157"/>
        <item x="137"/>
        <item x="0"/>
        <item x="86"/>
        <item x="58"/>
        <item x="3"/>
        <item x="42"/>
        <item x="144"/>
        <item x="21"/>
        <item x="83"/>
        <item x="2"/>
        <item x="14"/>
        <item x="27"/>
        <item x="97"/>
        <item x="15"/>
        <item x="118"/>
        <item x="147"/>
        <item x="24"/>
        <item x="110"/>
        <item x="50"/>
        <item x="49"/>
        <item x="123"/>
        <item x="165"/>
        <item x="168"/>
        <item x="166"/>
        <item x="84"/>
        <item x="28"/>
        <item x="170"/>
        <item x="171"/>
        <item x="121"/>
        <item x="32"/>
        <item x="149"/>
        <item x="12"/>
        <item x="89"/>
        <item x="82"/>
        <item x="93"/>
        <item x="94"/>
        <item x="54"/>
        <item x="164"/>
        <item x="167"/>
        <item x="59"/>
        <item x="103"/>
        <item x="163"/>
        <item x="23"/>
        <item x="74"/>
        <item x="63"/>
        <item x="108"/>
        <item x="62"/>
        <item x="95"/>
        <item x="57"/>
        <item x="70"/>
        <item x="92"/>
        <item x="161"/>
        <item x="40"/>
        <item x="46"/>
        <item x="112"/>
        <item x="85"/>
        <item x="15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 t="grand">
      <x/>
    </i>
  </rowItems>
  <colItems count="1">
    <i/>
  </colItems>
  <dataFields count="1">
    <dataField name="Contagem de REGIME" fld="6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9EDA-0233-436B-BD7F-DF57DC3BE730}">
  <dimension ref="A1:C18"/>
  <sheetViews>
    <sheetView workbookViewId="0"/>
  </sheetViews>
  <sheetFormatPr defaultRowHeight="14.4" x14ac:dyDescent="0.3"/>
  <sheetData>
    <row r="1" spans="1:3" x14ac:dyDescent="0.3">
      <c r="A1" s="3"/>
      <c r="B1" s="4"/>
      <c r="C1" s="5"/>
    </row>
    <row r="2" spans="1:3" x14ac:dyDescent="0.3">
      <c r="A2" s="6"/>
      <c r="B2" s="7"/>
      <c r="C2" s="8"/>
    </row>
    <row r="3" spans="1:3" x14ac:dyDescent="0.3">
      <c r="A3" s="6"/>
      <c r="B3" s="7"/>
      <c r="C3" s="8"/>
    </row>
    <row r="4" spans="1:3" x14ac:dyDescent="0.3">
      <c r="A4" s="6"/>
      <c r="B4" s="7"/>
      <c r="C4" s="8"/>
    </row>
    <row r="5" spans="1:3" x14ac:dyDescent="0.3">
      <c r="A5" s="6"/>
      <c r="B5" s="7"/>
      <c r="C5" s="8"/>
    </row>
    <row r="6" spans="1:3" x14ac:dyDescent="0.3">
      <c r="A6" s="6"/>
      <c r="B6" s="7"/>
      <c r="C6" s="8"/>
    </row>
    <row r="7" spans="1:3" x14ac:dyDescent="0.3">
      <c r="A7" s="6"/>
      <c r="B7" s="7"/>
      <c r="C7" s="8"/>
    </row>
    <row r="8" spans="1:3" x14ac:dyDescent="0.3">
      <c r="A8" s="6"/>
      <c r="B8" s="7"/>
      <c r="C8" s="8"/>
    </row>
    <row r="9" spans="1:3" x14ac:dyDescent="0.3">
      <c r="A9" s="6"/>
      <c r="B9" s="7"/>
      <c r="C9" s="8"/>
    </row>
    <row r="10" spans="1:3" x14ac:dyDescent="0.3">
      <c r="A10" s="6"/>
      <c r="B10" s="7"/>
      <c r="C10" s="8"/>
    </row>
    <row r="11" spans="1:3" x14ac:dyDescent="0.3">
      <c r="A11" s="6"/>
      <c r="B11" s="7"/>
      <c r="C11" s="8"/>
    </row>
    <row r="12" spans="1:3" x14ac:dyDescent="0.3">
      <c r="A12" s="6"/>
      <c r="B12" s="7"/>
      <c r="C12" s="8"/>
    </row>
    <row r="13" spans="1:3" x14ac:dyDescent="0.3">
      <c r="A13" s="6"/>
      <c r="B13" s="7"/>
      <c r="C13" s="8"/>
    </row>
    <row r="14" spans="1:3" x14ac:dyDescent="0.3">
      <c r="A14" s="6"/>
      <c r="B14" s="7"/>
      <c r="C14" s="8"/>
    </row>
    <row r="15" spans="1:3" x14ac:dyDescent="0.3">
      <c r="A15" s="6"/>
      <c r="B15" s="7"/>
      <c r="C15" s="8"/>
    </row>
    <row r="16" spans="1:3" x14ac:dyDescent="0.3">
      <c r="A16" s="6"/>
      <c r="B16" s="7"/>
      <c r="C16" s="8"/>
    </row>
    <row r="17" spans="1:3" x14ac:dyDescent="0.3">
      <c r="A17" s="6"/>
      <c r="B17" s="7"/>
      <c r="C17" s="8"/>
    </row>
    <row r="18" spans="1:3" x14ac:dyDescent="0.3">
      <c r="A18" s="9"/>
      <c r="B18" s="10"/>
      <c r="C18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DA01-CDEE-44CA-9F32-F0B4A9AB32FC}">
  <dimension ref="A1:C18"/>
  <sheetViews>
    <sheetView workbookViewId="0"/>
  </sheetViews>
  <sheetFormatPr defaultRowHeight="14.4" x14ac:dyDescent="0.3"/>
  <sheetData>
    <row r="1" spans="1:3" x14ac:dyDescent="0.3">
      <c r="A1" s="3"/>
      <c r="B1" s="4"/>
      <c r="C1" s="5"/>
    </row>
    <row r="2" spans="1:3" x14ac:dyDescent="0.3">
      <c r="A2" s="6"/>
      <c r="B2" s="7"/>
      <c r="C2" s="8"/>
    </row>
    <row r="3" spans="1:3" x14ac:dyDescent="0.3">
      <c r="A3" s="6"/>
      <c r="B3" s="7"/>
      <c r="C3" s="8"/>
    </row>
    <row r="4" spans="1:3" x14ac:dyDescent="0.3">
      <c r="A4" s="6"/>
      <c r="B4" s="7"/>
      <c r="C4" s="8"/>
    </row>
    <row r="5" spans="1:3" x14ac:dyDescent="0.3">
      <c r="A5" s="6"/>
      <c r="B5" s="7"/>
      <c r="C5" s="8"/>
    </row>
    <row r="6" spans="1:3" x14ac:dyDescent="0.3">
      <c r="A6" s="6"/>
      <c r="B6" s="7"/>
      <c r="C6" s="8"/>
    </row>
    <row r="7" spans="1:3" x14ac:dyDescent="0.3">
      <c r="A7" s="6"/>
      <c r="B7" s="7"/>
      <c r="C7" s="8"/>
    </row>
    <row r="8" spans="1:3" x14ac:dyDescent="0.3">
      <c r="A8" s="6"/>
      <c r="B8" s="7"/>
      <c r="C8" s="8"/>
    </row>
    <row r="9" spans="1:3" x14ac:dyDescent="0.3">
      <c r="A9" s="6"/>
      <c r="B9" s="7"/>
      <c r="C9" s="8"/>
    </row>
    <row r="10" spans="1:3" x14ac:dyDescent="0.3">
      <c r="A10" s="6"/>
      <c r="B10" s="7"/>
      <c r="C10" s="8"/>
    </row>
    <row r="11" spans="1:3" x14ac:dyDescent="0.3">
      <c r="A11" s="6"/>
      <c r="B11" s="7"/>
      <c r="C11" s="8"/>
    </row>
    <row r="12" spans="1:3" x14ac:dyDescent="0.3">
      <c r="A12" s="6"/>
      <c r="B12" s="7"/>
      <c r="C12" s="8"/>
    </row>
    <row r="13" spans="1:3" x14ac:dyDescent="0.3">
      <c r="A13" s="6"/>
      <c r="B13" s="7"/>
      <c r="C13" s="8"/>
    </row>
    <row r="14" spans="1:3" x14ac:dyDescent="0.3">
      <c r="A14" s="6"/>
      <c r="B14" s="7"/>
      <c r="C14" s="8"/>
    </row>
    <row r="15" spans="1:3" x14ac:dyDescent="0.3">
      <c r="A15" s="6"/>
      <c r="B15" s="7"/>
      <c r="C15" s="8"/>
    </row>
    <row r="16" spans="1:3" x14ac:dyDescent="0.3">
      <c r="A16" s="6"/>
      <c r="B16" s="7"/>
      <c r="C16" s="8"/>
    </row>
    <row r="17" spans="1:3" x14ac:dyDescent="0.3">
      <c r="A17" s="6"/>
      <c r="B17" s="7"/>
      <c r="C17" s="8"/>
    </row>
    <row r="18" spans="1:3" x14ac:dyDescent="0.3">
      <c r="A18" s="9"/>
      <c r="B18" s="10"/>
      <c r="C18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A796-8F90-4D77-9A98-5A781453E23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FD0A-5FB9-424A-BC15-376594038135}">
  <dimension ref="A1:C18"/>
  <sheetViews>
    <sheetView workbookViewId="0"/>
  </sheetViews>
  <sheetFormatPr defaultRowHeight="14.4" x14ac:dyDescent="0.3"/>
  <sheetData>
    <row r="1" spans="1:3" x14ac:dyDescent="0.3">
      <c r="A1" s="3"/>
      <c r="B1" s="4"/>
      <c r="C1" s="5"/>
    </row>
    <row r="2" spans="1:3" x14ac:dyDescent="0.3">
      <c r="A2" s="6"/>
      <c r="B2" s="7"/>
      <c r="C2" s="8"/>
    </row>
    <row r="3" spans="1:3" x14ac:dyDescent="0.3">
      <c r="A3" s="6"/>
      <c r="B3" s="7"/>
      <c r="C3" s="8"/>
    </row>
    <row r="4" spans="1:3" x14ac:dyDescent="0.3">
      <c r="A4" s="6"/>
      <c r="B4" s="7"/>
      <c r="C4" s="8"/>
    </row>
    <row r="5" spans="1:3" x14ac:dyDescent="0.3">
      <c r="A5" s="6"/>
      <c r="B5" s="7"/>
      <c r="C5" s="8"/>
    </row>
    <row r="6" spans="1:3" x14ac:dyDescent="0.3">
      <c r="A6" s="6"/>
      <c r="B6" s="7"/>
      <c r="C6" s="8"/>
    </row>
    <row r="7" spans="1:3" x14ac:dyDescent="0.3">
      <c r="A7" s="6"/>
      <c r="B7" s="7"/>
      <c r="C7" s="8"/>
    </row>
    <row r="8" spans="1:3" x14ac:dyDescent="0.3">
      <c r="A8" s="6"/>
      <c r="B8" s="7"/>
      <c r="C8" s="8"/>
    </row>
    <row r="9" spans="1:3" x14ac:dyDescent="0.3">
      <c r="A9" s="6"/>
      <c r="B9" s="7"/>
      <c r="C9" s="8"/>
    </row>
    <row r="10" spans="1:3" x14ac:dyDescent="0.3">
      <c r="A10" s="6"/>
      <c r="B10" s="7"/>
      <c r="C10" s="8"/>
    </row>
    <row r="11" spans="1:3" x14ac:dyDescent="0.3">
      <c r="A11" s="6"/>
      <c r="B11" s="7"/>
      <c r="C11" s="8"/>
    </row>
    <row r="12" spans="1:3" x14ac:dyDescent="0.3">
      <c r="A12" s="6"/>
      <c r="B12" s="7"/>
      <c r="C12" s="8"/>
    </row>
    <row r="13" spans="1:3" x14ac:dyDescent="0.3">
      <c r="A13" s="6"/>
      <c r="B13" s="7"/>
      <c r="C13" s="8"/>
    </row>
    <row r="14" spans="1:3" x14ac:dyDescent="0.3">
      <c r="A14" s="6"/>
      <c r="B14" s="7"/>
      <c r="C14" s="8"/>
    </row>
    <row r="15" spans="1:3" x14ac:dyDescent="0.3">
      <c r="A15" s="6"/>
      <c r="B15" s="7"/>
      <c r="C15" s="8"/>
    </row>
    <row r="16" spans="1:3" x14ac:dyDescent="0.3">
      <c r="A16" s="6"/>
      <c r="B16" s="7"/>
      <c r="C16" s="8"/>
    </row>
    <row r="17" spans="1:3" x14ac:dyDescent="0.3">
      <c r="A17" s="6"/>
      <c r="B17" s="7"/>
      <c r="C17" s="8"/>
    </row>
    <row r="18" spans="1:3" x14ac:dyDescent="0.3">
      <c r="A18" s="9"/>
      <c r="B18" s="10"/>
      <c r="C18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72AB-7E3C-40B8-AC16-17A9699F96B2}">
  <dimension ref="A1:B174"/>
  <sheetViews>
    <sheetView workbookViewId="0"/>
  </sheetViews>
  <sheetFormatPr defaultRowHeight="14.4" x14ac:dyDescent="0.3"/>
  <cols>
    <col min="1" max="1" width="54" bestFit="1" customWidth="1"/>
    <col min="2" max="2" width="19.88671875" bestFit="1" customWidth="1"/>
  </cols>
  <sheetData>
    <row r="1" spans="1:2" x14ac:dyDescent="0.3">
      <c r="A1" s="14" t="s">
        <v>359</v>
      </c>
      <c r="B1" t="s">
        <v>362</v>
      </c>
    </row>
    <row r="2" spans="1:2" x14ac:dyDescent="0.3">
      <c r="A2" s="15" t="s">
        <v>88</v>
      </c>
      <c r="B2">
        <v>1</v>
      </c>
    </row>
    <row r="3" spans="1:2" x14ac:dyDescent="0.3">
      <c r="A3" s="15" t="s">
        <v>38</v>
      </c>
      <c r="B3">
        <v>1</v>
      </c>
    </row>
    <row r="4" spans="1:2" x14ac:dyDescent="0.3">
      <c r="A4" s="15" t="s">
        <v>27</v>
      </c>
      <c r="B4">
        <v>1</v>
      </c>
    </row>
    <row r="5" spans="1:2" x14ac:dyDescent="0.3">
      <c r="A5" s="15" t="s">
        <v>167</v>
      </c>
      <c r="B5">
        <v>1</v>
      </c>
    </row>
    <row r="6" spans="1:2" x14ac:dyDescent="0.3">
      <c r="A6" s="15" t="s">
        <v>57</v>
      </c>
      <c r="B6">
        <v>1</v>
      </c>
    </row>
    <row r="7" spans="1:2" x14ac:dyDescent="0.3">
      <c r="A7" s="15" t="s">
        <v>70</v>
      </c>
      <c r="B7">
        <v>1</v>
      </c>
    </row>
    <row r="8" spans="1:2" x14ac:dyDescent="0.3">
      <c r="A8" s="15" t="s">
        <v>125</v>
      </c>
      <c r="B8">
        <v>1</v>
      </c>
    </row>
    <row r="9" spans="1:2" x14ac:dyDescent="0.3">
      <c r="A9" s="15" t="s">
        <v>135</v>
      </c>
      <c r="B9">
        <v>1</v>
      </c>
    </row>
    <row r="10" spans="1:2" x14ac:dyDescent="0.3">
      <c r="A10" s="15" t="s">
        <v>124</v>
      </c>
      <c r="B10">
        <v>1</v>
      </c>
    </row>
    <row r="11" spans="1:2" x14ac:dyDescent="0.3">
      <c r="A11" s="15" t="s">
        <v>86</v>
      </c>
      <c r="B11">
        <v>1</v>
      </c>
    </row>
    <row r="12" spans="1:2" x14ac:dyDescent="0.3">
      <c r="A12" s="15" t="s">
        <v>62</v>
      </c>
      <c r="B12">
        <v>1</v>
      </c>
    </row>
    <row r="13" spans="1:2" x14ac:dyDescent="0.3">
      <c r="A13" s="15" t="s">
        <v>10</v>
      </c>
      <c r="B13">
        <v>1</v>
      </c>
    </row>
    <row r="14" spans="1:2" x14ac:dyDescent="0.3">
      <c r="A14" s="15" t="s">
        <v>123</v>
      </c>
      <c r="B14">
        <v>1</v>
      </c>
    </row>
    <row r="15" spans="1:2" x14ac:dyDescent="0.3">
      <c r="A15" s="15" t="s">
        <v>126</v>
      </c>
      <c r="B15">
        <v>1</v>
      </c>
    </row>
    <row r="16" spans="1:2" x14ac:dyDescent="0.3">
      <c r="A16" s="15" t="s">
        <v>147</v>
      </c>
      <c r="B16">
        <v>1</v>
      </c>
    </row>
    <row r="17" spans="1:2" x14ac:dyDescent="0.3">
      <c r="A17" s="15" t="s">
        <v>56</v>
      </c>
      <c r="B17">
        <v>1</v>
      </c>
    </row>
    <row r="18" spans="1:2" x14ac:dyDescent="0.3">
      <c r="A18" s="15" t="s">
        <v>141</v>
      </c>
      <c r="B18">
        <v>1</v>
      </c>
    </row>
    <row r="19" spans="1:2" x14ac:dyDescent="0.3">
      <c r="A19" s="15" t="s">
        <v>87</v>
      </c>
      <c r="B19">
        <v>1</v>
      </c>
    </row>
    <row r="20" spans="1:2" x14ac:dyDescent="0.3">
      <c r="A20" s="15" t="s">
        <v>42</v>
      </c>
      <c r="B20">
        <v>1</v>
      </c>
    </row>
    <row r="21" spans="1:2" x14ac:dyDescent="0.3">
      <c r="A21" s="15" t="s">
        <v>45</v>
      </c>
      <c r="B21">
        <v>1</v>
      </c>
    </row>
    <row r="22" spans="1:2" x14ac:dyDescent="0.3">
      <c r="A22" s="15" t="s">
        <v>133</v>
      </c>
      <c r="B22">
        <v>1</v>
      </c>
    </row>
    <row r="23" spans="1:2" x14ac:dyDescent="0.3">
      <c r="A23" s="15" t="s">
        <v>343</v>
      </c>
    </row>
    <row r="24" spans="1:2" x14ac:dyDescent="0.3">
      <c r="A24" s="15" t="s">
        <v>82</v>
      </c>
      <c r="B24">
        <v>1</v>
      </c>
    </row>
    <row r="25" spans="1:2" x14ac:dyDescent="0.3">
      <c r="A25" s="15" t="s">
        <v>89</v>
      </c>
      <c r="B25">
        <v>1</v>
      </c>
    </row>
    <row r="26" spans="1:2" x14ac:dyDescent="0.3">
      <c r="A26" s="15" t="s">
        <v>26</v>
      </c>
      <c r="B26">
        <v>1</v>
      </c>
    </row>
    <row r="27" spans="1:2" x14ac:dyDescent="0.3">
      <c r="A27" s="15" t="s">
        <v>85</v>
      </c>
      <c r="B27">
        <v>1</v>
      </c>
    </row>
    <row r="28" spans="1:2" x14ac:dyDescent="0.3">
      <c r="A28" s="15" t="s">
        <v>154</v>
      </c>
      <c r="B28">
        <v>1</v>
      </c>
    </row>
    <row r="29" spans="1:2" x14ac:dyDescent="0.3">
      <c r="A29" s="15" t="s">
        <v>74</v>
      </c>
      <c r="B29">
        <v>1</v>
      </c>
    </row>
    <row r="30" spans="1:2" x14ac:dyDescent="0.3">
      <c r="A30" s="15" t="s">
        <v>90</v>
      </c>
      <c r="B30">
        <v>1</v>
      </c>
    </row>
    <row r="31" spans="1:2" x14ac:dyDescent="0.3">
      <c r="A31" s="15" t="s">
        <v>136</v>
      </c>
      <c r="B31">
        <v>1</v>
      </c>
    </row>
    <row r="32" spans="1:2" x14ac:dyDescent="0.3">
      <c r="A32" s="15" t="s">
        <v>162</v>
      </c>
      <c r="B32">
        <v>1</v>
      </c>
    </row>
    <row r="33" spans="1:2" x14ac:dyDescent="0.3">
      <c r="A33" s="15" t="s">
        <v>81</v>
      </c>
      <c r="B33">
        <v>1</v>
      </c>
    </row>
    <row r="34" spans="1:2" x14ac:dyDescent="0.3">
      <c r="A34" s="15" t="s">
        <v>148</v>
      </c>
      <c r="B34">
        <v>1</v>
      </c>
    </row>
    <row r="35" spans="1:2" x14ac:dyDescent="0.3">
      <c r="A35" s="15" t="s">
        <v>144</v>
      </c>
      <c r="B35">
        <v>1</v>
      </c>
    </row>
    <row r="36" spans="1:2" x14ac:dyDescent="0.3">
      <c r="A36" s="15" t="s">
        <v>31</v>
      </c>
      <c r="B36">
        <v>1</v>
      </c>
    </row>
    <row r="37" spans="1:2" x14ac:dyDescent="0.3">
      <c r="A37" s="15" t="s">
        <v>142</v>
      </c>
      <c r="B37">
        <v>1</v>
      </c>
    </row>
    <row r="38" spans="1:2" x14ac:dyDescent="0.3">
      <c r="A38" s="15" t="s">
        <v>76</v>
      </c>
      <c r="B38">
        <v>1</v>
      </c>
    </row>
    <row r="39" spans="1:2" x14ac:dyDescent="0.3">
      <c r="A39" s="15" t="s">
        <v>137</v>
      </c>
      <c r="B39">
        <v>1</v>
      </c>
    </row>
    <row r="40" spans="1:2" x14ac:dyDescent="0.3">
      <c r="A40" s="15" t="s">
        <v>164</v>
      </c>
      <c r="B40">
        <v>1</v>
      </c>
    </row>
    <row r="41" spans="1:2" x14ac:dyDescent="0.3">
      <c r="A41" s="15" t="s">
        <v>155</v>
      </c>
      <c r="B41">
        <v>1</v>
      </c>
    </row>
    <row r="42" spans="1:2" x14ac:dyDescent="0.3">
      <c r="A42" s="15" t="s">
        <v>35</v>
      </c>
      <c r="B42">
        <v>1</v>
      </c>
    </row>
    <row r="43" spans="1:2" x14ac:dyDescent="0.3">
      <c r="A43" s="15" t="s">
        <v>145</v>
      </c>
      <c r="B43">
        <v>1</v>
      </c>
    </row>
    <row r="44" spans="1:2" x14ac:dyDescent="0.3">
      <c r="A44" s="15" t="s">
        <v>84</v>
      </c>
      <c r="B44">
        <v>1</v>
      </c>
    </row>
    <row r="45" spans="1:2" x14ac:dyDescent="0.3">
      <c r="A45" s="15" t="s">
        <v>29</v>
      </c>
      <c r="B45">
        <v>1</v>
      </c>
    </row>
    <row r="46" spans="1:2" x14ac:dyDescent="0.3">
      <c r="A46" s="15" t="s">
        <v>129</v>
      </c>
      <c r="B46">
        <v>1</v>
      </c>
    </row>
    <row r="47" spans="1:2" x14ac:dyDescent="0.3">
      <c r="A47" s="15" t="s">
        <v>13</v>
      </c>
      <c r="B47">
        <v>1</v>
      </c>
    </row>
    <row r="48" spans="1:2" x14ac:dyDescent="0.3">
      <c r="A48" s="15" t="s">
        <v>355</v>
      </c>
    </row>
    <row r="49" spans="1:2" x14ac:dyDescent="0.3">
      <c r="A49" s="15" t="s">
        <v>152</v>
      </c>
      <c r="B49">
        <v>1</v>
      </c>
    </row>
    <row r="50" spans="1:2" x14ac:dyDescent="0.3">
      <c r="A50" s="15" t="s">
        <v>99</v>
      </c>
      <c r="B50">
        <v>1</v>
      </c>
    </row>
    <row r="51" spans="1:2" x14ac:dyDescent="0.3">
      <c r="A51" s="15" t="s">
        <v>120</v>
      </c>
      <c r="B51">
        <v>1</v>
      </c>
    </row>
    <row r="52" spans="1:2" x14ac:dyDescent="0.3">
      <c r="A52" s="15" t="s">
        <v>20</v>
      </c>
      <c r="B52">
        <v>1</v>
      </c>
    </row>
    <row r="53" spans="1:2" x14ac:dyDescent="0.3">
      <c r="A53" s="15" t="s">
        <v>25</v>
      </c>
      <c r="B53">
        <v>1</v>
      </c>
    </row>
    <row r="54" spans="1:2" x14ac:dyDescent="0.3">
      <c r="A54" s="15" t="s">
        <v>111</v>
      </c>
      <c r="B54">
        <v>1</v>
      </c>
    </row>
    <row r="55" spans="1:2" x14ac:dyDescent="0.3">
      <c r="A55" s="15" t="s">
        <v>60</v>
      </c>
      <c r="B55">
        <v>1</v>
      </c>
    </row>
    <row r="56" spans="1:2" x14ac:dyDescent="0.3">
      <c r="A56" s="15" t="s">
        <v>163</v>
      </c>
      <c r="B56">
        <v>1</v>
      </c>
    </row>
    <row r="57" spans="1:2" x14ac:dyDescent="0.3">
      <c r="A57" s="15" t="s">
        <v>149</v>
      </c>
      <c r="B57">
        <v>1</v>
      </c>
    </row>
    <row r="58" spans="1:2" x14ac:dyDescent="0.3">
      <c r="A58" s="15" t="s">
        <v>17</v>
      </c>
      <c r="B58">
        <v>1</v>
      </c>
    </row>
    <row r="59" spans="1:2" x14ac:dyDescent="0.3">
      <c r="A59" s="15" t="s">
        <v>19</v>
      </c>
      <c r="B59">
        <v>1</v>
      </c>
    </row>
    <row r="60" spans="1:2" x14ac:dyDescent="0.3">
      <c r="A60" s="15" t="s">
        <v>114</v>
      </c>
      <c r="B60">
        <v>1</v>
      </c>
    </row>
    <row r="61" spans="1:2" x14ac:dyDescent="0.3">
      <c r="A61" s="15" t="s">
        <v>61</v>
      </c>
      <c r="B61">
        <v>1</v>
      </c>
    </row>
    <row r="62" spans="1:2" x14ac:dyDescent="0.3">
      <c r="A62" s="15" t="s">
        <v>341</v>
      </c>
    </row>
    <row r="63" spans="1:2" x14ac:dyDescent="0.3">
      <c r="A63" s="15" t="s">
        <v>100</v>
      </c>
      <c r="B63">
        <v>1</v>
      </c>
    </row>
    <row r="64" spans="1:2" x14ac:dyDescent="0.3">
      <c r="A64" s="15" t="s">
        <v>47</v>
      </c>
      <c r="B64">
        <v>1</v>
      </c>
    </row>
    <row r="65" spans="1:2" x14ac:dyDescent="0.3">
      <c r="A65" s="15" t="s">
        <v>80</v>
      </c>
      <c r="B65">
        <v>1</v>
      </c>
    </row>
    <row r="66" spans="1:2" x14ac:dyDescent="0.3">
      <c r="A66" s="15" t="s">
        <v>77</v>
      </c>
      <c r="B66">
        <v>1</v>
      </c>
    </row>
    <row r="67" spans="1:2" x14ac:dyDescent="0.3">
      <c r="A67" s="15" t="s">
        <v>97</v>
      </c>
      <c r="B67">
        <v>1</v>
      </c>
    </row>
    <row r="68" spans="1:2" x14ac:dyDescent="0.3">
      <c r="A68" s="15" t="s">
        <v>53</v>
      </c>
      <c r="B68">
        <v>1</v>
      </c>
    </row>
    <row r="69" spans="1:2" x14ac:dyDescent="0.3">
      <c r="A69" s="15" t="s">
        <v>69</v>
      </c>
      <c r="B69">
        <v>1</v>
      </c>
    </row>
    <row r="70" spans="1:2" x14ac:dyDescent="0.3">
      <c r="A70" s="15" t="s">
        <v>160</v>
      </c>
      <c r="B70">
        <v>1</v>
      </c>
    </row>
    <row r="71" spans="1:2" x14ac:dyDescent="0.3">
      <c r="A71" s="15" t="s">
        <v>138</v>
      </c>
      <c r="B71">
        <v>1</v>
      </c>
    </row>
    <row r="72" spans="1:2" x14ac:dyDescent="0.3">
      <c r="A72" s="15" t="s">
        <v>96</v>
      </c>
      <c r="B72">
        <v>1</v>
      </c>
    </row>
    <row r="73" spans="1:2" x14ac:dyDescent="0.3">
      <c r="A73" s="15" t="s">
        <v>110</v>
      </c>
      <c r="B73">
        <v>1</v>
      </c>
    </row>
    <row r="74" spans="1:2" x14ac:dyDescent="0.3">
      <c r="A74" s="15" t="s">
        <v>151</v>
      </c>
      <c r="B74">
        <v>1</v>
      </c>
    </row>
    <row r="75" spans="1:2" x14ac:dyDescent="0.3">
      <c r="A75" s="15" t="s">
        <v>161</v>
      </c>
      <c r="B75">
        <v>1</v>
      </c>
    </row>
    <row r="76" spans="1:2" x14ac:dyDescent="0.3">
      <c r="A76" s="15" t="s">
        <v>28</v>
      </c>
      <c r="B76">
        <v>1</v>
      </c>
    </row>
    <row r="77" spans="1:2" x14ac:dyDescent="0.3">
      <c r="A77" s="15" t="s">
        <v>54</v>
      </c>
      <c r="B77">
        <v>1</v>
      </c>
    </row>
    <row r="78" spans="1:2" x14ac:dyDescent="0.3">
      <c r="A78" s="15" t="s">
        <v>115</v>
      </c>
      <c r="B78">
        <v>1</v>
      </c>
    </row>
    <row r="79" spans="1:2" x14ac:dyDescent="0.3">
      <c r="A79" s="15" t="s">
        <v>108</v>
      </c>
      <c r="B79">
        <v>1</v>
      </c>
    </row>
    <row r="80" spans="1:2" x14ac:dyDescent="0.3">
      <c r="A80" s="15" t="s">
        <v>15</v>
      </c>
      <c r="B80">
        <v>1</v>
      </c>
    </row>
    <row r="81" spans="1:2" x14ac:dyDescent="0.3">
      <c r="A81" s="15" t="s">
        <v>157</v>
      </c>
      <c r="B81">
        <v>1</v>
      </c>
    </row>
    <row r="82" spans="1:2" x14ac:dyDescent="0.3">
      <c r="A82" s="15" t="s">
        <v>139</v>
      </c>
      <c r="B82">
        <v>1</v>
      </c>
    </row>
    <row r="83" spans="1:2" x14ac:dyDescent="0.3">
      <c r="A83" s="15" t="s">
        <v>14</v>
      </c>
      <c r="B83">
        <v>1</v>
      </c>
    </row>
    <row r="84" spans="1:2" x14ac:dyDescent="0.3">
      <c r="A84" s="15" t="s">
        <v>107</v>
      </c>
      <c r="B84">
        <v>1</v>
      </c>
    </row>
    <row r="85" spans="1:2" x14ac:dyDescent="0.3">
      <c r="A85" s="15" t="s">
        <v>134</v>
      </c>
      <c r="B85">
        <v>1</v>
      </c>
    </row>
    <row r="86" spans="1:2" x14ac:dyDescent="0.3">
      <c r="A86" s="15" t="s">
        <v>40</v>
      </c>
      <c r="B86">
        <v>1</v>
      </c>
    </row>
    <row r="87" spans="1:2" x14ac:dyDescent="0.3">
      <c r="A87" s="15" t="s">
        <v>22</v>
      </c>
      <c r="B87">
        <v>1</v>
      </c>
    </row>
    <row r="88" spans="1:2" x14ac:dyDescent="0.3">
      <c r="A88" s="15" t="s">
        <v>116</v>
      </c>
      <c r="B88">
        <v>1</v>
      </c>
    </row>
    <row r="89" spans="1:2" x14ac:dyDescent="0.3">
      <c r="A89" s="15" t="s">
        <v>34</v>
      </c>
      <c r="B89">
        <v>1</v>
      </c>
    </row>
    <row r="90" spans="1:2" x14ac:dyDescent="0.3">
      <c r="A90" s="15" t="s">
        <v>46</v>
      </c>
      <c r="B90">
        <v>1</v>
      </c>
    </row>
    <row r="91" spans="1:2" x14ac:dyDescent="0.3">
      <c r="A91" s="15" t="s">
        <v>78</v>
      </c>
      <c r="B91">
        <v>1</v>
      </c>
    </row>
    <row r="92" spans="1:2" x14ac:dyDescent="0.3">
      <c r="A92" s="15" t="s">
        <v>109</v>
      </c>
      <c r="B92">
        <v>1</v>
      </c>
    </row>
    <row r="93" spans="1:2" x14ac:dyDescent="0.3">
      <c r="A93" s="15" t="s">
        <v>16</v>
      </c>
      <c r="B93">
        <v>1</v>
      </c>
    </row>
    <row r="94" spans="1:2" x14ac:dyDescent="0.3">
      <c r="A94" s="15" t="s">
        <v>18</v>
      </c>
      <c r="B94">
        <v>1</v>
      </c>
    </row>
    <row r="95" spans="1:2" x14ac:dyDescent="0.3">
      <c r="A95" s="15" t="s">
        <v>165</v>
      </c>
      <c r="B95">
        <v>1</v>
      </c>
    </row>
    <row r="96" spans="1:2" x14ac:dyDescent="0.3">
      <c r="A96" s="15" t="s">
        <v>113</v>
      </c>
      <c r="B96">
        <v>1</v>
      </c>
    </row>
    <row r="97" spans="1:2" x14ac:dyDescent="0.3">
      <c r="A97" s="15" t="s">
        <v>118</v>
      </c>
      <c r="B97">
        <v>1</v>
      </c>
    </row>
    <row r="98" spans="1:2" x14ac:dyDescent="0.3">
      <c r="A98" s="15" t="s">
        <v>52</v>
      </c>
      <c r="B98">
        <v>1</v>
      </c>
    </row>
    <row r="99" spans="1:2" x14ac:dyDescent="0.3">
      <c r="A99" s="15" t="s">
        <v>122</v>
      </c>
      <c r="B99">
        <v>1</v>
      </c>
    </row>
    <row r="100" spans="1:2" x14ac:dyDescent="0.3">
      <c r="A100" s="15" t="s">
        <v>39</v>
      </c>
      <c r="B100">
        <v>1</v>
      </c>
    </row>
    <row r="101" spans="1:2" x14ac:dyDescent="0.3">
      <c r="A101" s="15" t="s">
        <v>128</v>
      </c>
      <c r="B101">
        <v>1</v>
      </c>
    </row>
    <row r="102" spans="1:2" x14ac:dyDescent="0.3">
      <c r="A102" s="15" t="s">
        <v>143</v>
      </c>
      <c r="B102">
        <v>1</v>
      </c>
    </row>
    <row r="103" spans="1:2" x14ac:dyDescent="0.3">
      <c r="A103" s="15" t="s">
        <v>44</v>
      </c>
      <c r="B103">
        <v>1</v>
      </c>
    </row>
    <row r="104" spans="1:2" x14ac:dyDescent="0.3">
      <c r="A104" s="15" t="s">
        <v>75</v>
      </c>
      <c r="B104">
        <v>1</v>
      </c>
    </row>
    <row r="105" spans="1:2" x14ac:dyDescent="0.3">
      <c r="A105" s="15" t="s">
        <v>50</v>
      </c>
      <c r="B105">
        <v>1</v>
      </c>
    </row>
    <row r="106" spans="1:2" x14ac:dyDescent="0.3">
      <c r="A106" s="15" t="s">
        <v>150</v>
      </c>
      <c r="B106">
        <v>1</v>
      </c>
    </row>
    <row r="107" spans="1:2" x14ac:dyDescent="0.3">
      <c r="A107" s="15" t="s">
        <v>140</v>
      </c>
      <c r="B107">
        <v>1</v>
      </c>
    </row>
    <row r="108" spans="1:2" x14ac:dyDescent="0.3">
      <c r="A108" s="15" t="s">
        <v>64</v>
      </c>
      <c r="B108">
        <v>1</v>
      </c>
    </row>
    <row r="109" spans="1:2" x14ac:dyDescent="0.3">
      <c r="A109" s="15" t="s">
        <v>159</v>
      </c>
      <c r="B109">
        <v>1</v>
      </c>
    </row>
    <row r="110" spans="1:2" x14ac:dyDescent="0.3">
      <c r="A110" s="15" t="s">
        <v>131</v>
      </c>
      <c r="B110">
        <v>1</v>
      </c>
    </row>
    <row r="111" spans="1:2" x14ac:dyDescent="0.3">
      <c r="A111" s="15" t="s">
        <v>73</v>
      </c>
      <c r="B111">
        <v>1</v>
      </c>
    </row>
    <row r="112" spans="1:2" x14ac:dyDescent="0.3">
      <c r="A112" s="15" t="s">
        <v>105</v>
      </c>
      <c r="B112">
        <v>1</v>
      </c>
    </row>
    <row r="113" spans="1:2" x14ac:dyDescent="0.3">
      <c r="A113" s="15" t="s">
        <v>43</v>
      </c>
      <c r="B113">
        <v>1</v>
      </c>
    </row>
    <row r="114" spans="1:2" x14ac:dyDescent="0.3">
      <c r="A114" s="15" t="s">
        <v>48</v>
      </c>
      <c r="B114">
        <v>1</v>
      </c>
    </row>
    <row r="115" spans="1:2" x14ac:dyDescent="0.3">
      <c r="A115" s="15" t="s">
        <v>65</v>
      </c>
      <c r="B115">
        <v>1</v>
      </c>
    </row>
    <row r="116" spans="1:2" x14ac:dyDescent="0.3">
      <c r="A116" s="15" t="s">
        <v>166</v>
      </c>
      <c r="B116">
        <v>1</v>
      </c>
    </row>
    <row r="117" spans="1:2" x14ac:dyDescent="0.3">
      <c r="A117" s="15" t="s">
        <v>146</v>
      </c>
      <c r="B117">
        <v>1</v>
      </c>
    </row>
    <row r="118" spans="1:2" x14ac:dyDescent="0.3">
      <c r="A118" s="15" t="s">
        <v>9</v>
      </c>
      <c r="B118">
        <v>1</v>
      </c>
    </row>
    <row r="119" spans="1:2" x14ac:dyDescent="0.3">
      <c r="A119" s="15" t="s">
        <v>95</v>
      </c>
      <c r="B119">
        <v>1</v>
      </c>
    </row>
    <row r="120" spans="1:2" x14ac:dyDescent="0.3">
      <c r="A120" s="15" t="s">
        <v>67</v>
      </c>
      <c r="B120">
        <v>1</v>
      </c>
    </row>
    <row r="121" spans="1:2" x14ac:dyDescent="0.3">
      <c r="A121" s="15" t="s">
        <v>12</v>
      </c>
    </row>
    <row r="122" spans="1:2" x14ac:dyDescent="0.3">
      <c r="A122" s="15" t="s">
        <v>51</v>
      </c>
      <c r="B122">
        <v>1</v>
      </c>
    </row>
    <row r="123" spans="1:2" x14ac:dyDescent="0.3">
      <c r="A123" s="15" t="s">
        <v>153</v>
      </c>
      <c r="B123">
        <v>1</v>
      </c>
    </row>
    <row r="124" spans="1:2" x14ac:dyDescent="0.3">
      <c r="A124" s="15" t="s">
        <v>30</v>
      </c>
      <c r="B124">
        <v>1</v>
      </c>
    </row>
    <row r="125" spans="1:2" x14ac:dyDescent="0.3">
      <c r="A125" s="15" t="s">
        <v>92</v>
      </c>
      <c r="B125">
        <v>1</v>
      </c>
    </row>
    <row r="126" spans="1:2" x14ac:dyDescent="0.3">
      <c r="A126" s="15" t="s">
        <v>11</v>
      </c>
      <c r="B126">
        <v>1</v>
      </c>
    </row>
    <row r="127" spans="1:2" x14ac:dyDescent="0.3">
      <c r="A127" s="15" t="s">
        <v>23</v>
      </c>
      <c r="B127">
        <v>1</v>
      </c>
    </row>
    <row r="128" spans="1:2" x14ac:dyDescent="0.3">
      <c r="A128" s="15" t="s">
        <v>36</v>
      </c>
      <c r="B128">
        <v>1</v>
      </c>
    </row>
    <row r="129" spans="1:2" x14ac:dyDescent="0.3">
      <c r="A129" s="15" t="s">
        <v>106</v>
      </c>
      <c r="B129">
        <v>1</v>
      </c>
    </row>
    <row r="130" spans="1:2" x14ac:dyDescent="0.3">
      <c r="A130" s="15" t="s">
        <v>24</v>
      </c>
      <c r="B130">
        <v>1</v>
      </c>
    </row>
    <row r="131" spans="1:2" x14ac:dyDescent="0.3">
      <c r="A131" s="15" t="s">
        <v>127</v>
      </c>
      <c r="B131">
        <v>1</v>
      </c>
    </row>
    <row r="132" spans="1:2" x14ac:dyDescent="0.3">
      <c r="A132" s="15" t="s">
        <v>156</v>
      </c>
      <c r="B132">
        <v>1</v>
      </c>
    </row>
    <row r="133" spans="1:2" x14ac:dyDescent="0.3">
      <c r="A133" s="15" t="s">
        <v>33</v>
      </c>
      <c r="B133">
        <v>1</v>
      </c>
    </row>
    <row r="134" spans="1:2" x14ac:dyDescent="0.3">
      <c r="A134" s="15" t="s">
        <v>119</v>
      </c>
      <c r="B134">
        <v>1</v>
      </c>
    </row>
    <row r="135" spans="1:2" x14ac:dyDescent="0.3">
      <c r="A135" s="15" t="s">
        <v>59</v>
      </c>
      <c r="B135">
        <v>1</v>
      </c>
    </row>
    <row r="136" spans="1:2" x14ac:dyDescent="0.3">
      <c r="A136" s="15" t="s">
        <v>58</v>
      </c>
      <c r="B136">
        <v>1</v>
      </c>
    </row>
    <row r="137" spans="1:2" x14ac:dyDescent="0.3">
      <c r="A137" s="15" t="s">
        <v>132</v>
      </c>
      <c r="B137">
        <v>1</v>
      </c>
    </row>
    <row r="138" spans="1:2" x14ac:dyDescent="0.3">
      <c r="A138" s="15" t="s">
        <v>347</v>
      </c>
    </row>
    <row r="139" spans="1:2" x14ac:dyDescent="0.3">
      <c r="A139" s="15" t="s">
        <v>353</v>
      </c>
    </row>
    <row r="140" spans="1:2" x14ac:dyDescent="0.3">
      <c r="A140" s="15" t="s">
        <v>349</v>
      </c>
    </row>
    <row r="141" spans="1:2" x14ac:dyDescent="0.3">
      <c r="A141" s="15" t="s">
        <v>93</v>
      </c>
      <c r="B141">
        <v>1</v>
      </c>
    </row>
    <row r="142" spans="1:2" x14ac:dyDescent="0.3">
      <c r="A142" s="15" t="s">
        <v>37</v>
      </c>
      <c r="B142">
        <v>1</v>
      </c>
    </row>
    <row r="143" spans="1:2" x14ac:dyDescent="0.3">
      <c r="A143" s="15" t="s">
        <v>357</v>
      </c>
    </row>
    <row r="144" spans="1:2" x14ac:dyDescent="0.3">
      <c r="A144" s="15" t="s">
        <v>358</v>
      </c>
    </row>
    <row r="145" spans="1:2" x14ac:dyDescent="0.3">
      <c r="A145" s="15" t="s">
        <v>130</v>
      </c>
      <c r="B145">
        <v>1</v>
      </c>
    </row>
    <row r="146" spans="1:2" x14ac:dyDescent="0.3">
      <c r="A146" s="15" t="s">
        <v>41</v>
      </c>
      <c r="B146">
        <v>1</v>
      </c>
    </row>
    <row r="147" spans="1:2" x14ac:dyDescent="0.3">
      <c r="A147" s="15" t="s">
        <v>158</v>
      </c>
      <c r="B147">
        <v>1</v>
      </c>
    </row>
    <row r="148" spans="1:2" x14ac:dyDescent="0.3">
      <c r="A148" s="15" t="s">
        <v>21</v>
      </c>
      <c r="B148">
        <v>1</v>
      </c>
    </row>
    <row r="149" spans="1:2" x14ac:dyDescent="0.3">
      <c r="A149" s="15" t="s">
        <v>98</v>
      </c>
      <c r="B149">
        <v>1</v>
      </c>
    </row>
    <row r="150" spans="1:2" x14ac:dyDescent="0.3">
      <c r="A150" s="15" t="s">
        <v>91</v>
      </c>
      <c r="B150">
        <v>1</v>
      </c>
    </row>
    <row r="151" spans="1:2" x14ac:dyDescent="0.3">
      <c r="A151" s="15" t="s">
        <v>102</v>
      </c>
      <c r="B151">
        <v>1</v>
      </c>
    </row>
    <row r="152" spans="1:2" x14ac:dyDescent="0.3">
      <c r="A152" s="15" t="s">
        <v>103</v>
      </c>
      <c r="B152">
        <v>1</v>
      </c>
    </row>
    <row r="153" spans="1:2" x14ac:dyDescent="0.3">
      <c r="A153" s="15" t="s">
        <v>63</v>
      </c>
      <c r="B153">
        <v>1</v>
      </c>
    </row>
    <row r="154" spans="1:2" x14ac:dyDescent="0.3">
      <c r="A154" s="15" t="s">
        <v>345</v>
      </c>
    </row>
    <row r="155" spans="1:2" x14ac:dyDescent="0.3">
      <c r="A155" s="15" t="s">
        <v>351</v>
      </c>
    </row>
    <row r="156" spans="1:2" x14ac:dyDescent="0.3">
      <c r="A156" s="15" t="s">
        <v>68</v>
      </c>
      <c r="B156">
        <v>1</v>
      </c>
    </row>
    <row r="157" spans="1:2" x14ac:dyDescent="0.3">
      <c r="A157" s="15" t="s">
        <v>112</v>
      </c>
      <c r="B157">
        <v>1</v>
      </c>
    </row>
    <row r="158" spans="1:2" x14ac:dyDescent="0.3">
      <c r="A158" s="15" t="s">
        <v>344</v>
      </c>
    </row>
    <row r="159" spans="1:2" x14ac:dyDescent="0.3">
      <c r="A159" s="15" t="s">
        <v>32</v>
      </c>
      <c r="B159">
        <v>1</v>
      </c>
    </row>
    <row r="160" spans="1:2" x14ac:dyDescent="0.3">
      <c r="A160" s="15" t="s">
        <v>83</v>
      </c>
      <c r="B160">
        <v>1</v>
      </c>
    </row>
    <row r="161" spans="1:2" x14ac:dyDescent="0.3">
      <c r="A161" s="15" t="s">
        <v>72</v>
      </c>
      <c r="B161">
        <v>1</v>
      </c>
    </row>
    <row r="162" spans="1:2" x14ac:dyDescent="0.3">
      <c r="A162" s="15" t="s">
        <v>117</v>
      </c>
      <c r="B162">
        <v>1</v>
      </c>
    </row>
    <row r="163" spans="1:2" x14ac:dyDescent="0.3">
      <c r="A163" s="15" t="s">
        <v>71</v>
      </c>
      <c r="B163">
        <v>1</v>
      </c>
    </row>
    <row r="164" spans="1:2" x14ac:dyDescent="0.3">
      <c r="A164" s="15" t="s">
        <v>104</v>
      </c>
      <c r="B164">
        <v>1</v>
      </c>
    </row>
    <row r="165" spans="1:2" x14ac:dyDescent="0.3">
      <c r="A165" s="15" t="s">
        <v>66</v>
      </c>
      <c r="B165">
        <v>1</v>
      </c>
    </row>
    <row r="166" spans="1:2" x14ac:dyDescent="0.3">
      <c r="A166" s="15" t="s">
        <v>79</v>
      </c>
      <c r="B166">
        <v>1</v>
      </c>
    </row>
    <row r="167" spans="1:2" x14ac:dyDescent="0.3">
      <c r="A167" s="15" t="s">
        <v>101</v>
      </c>
      <c r="B167">
        <v>1</v>
      </c>
    </row>
    <row r="168" spans="1:2" x14ac:dyDescent="0.3">
      <c r="A168" s="15" t="s">
        <v>342</v>
      </c>
    </row>
    <row r="169" spans="1:2" x14ac:dyDescent="0.3">
      <c r="A169" s="15" t="s">
        <v>49</v>
      </c>
      <c r="B169">
        <v>1</v>
      </c>
    </row>
    <row r="170" spans="1:2" x14ac:dyDescent="0.3">
      <c r="A170" s="15" t="s">
        <v>55</v>
      </c>
      <c r="B170">
        <v>1</v>
      </c>
    </row>
    <row r="171" spans="1:2" x14ac:dyDescent="0.3">
      <c r="A171" s="15" t="s">
        <v>121</v>
      </c>
      <c r="B171">
        <v>1</v>
      </c>
    </row>
    <row r="172" spans="1:2" x14ac:dyDescent="0.3">
      <c r="A172" s="15" t="s">
        <v>94</v>
      </c>
      <c r="B172">
        <v>1</v>
      </c>
    </row>
    <row r="173" spans="1:2" x14ac:dyDescent="0.3">
      <c r="A173" s="15" t="s">
        <v>360</v>
      </c>
    </row>
    <row r="174" spans="1:2" x14ac:dyDescent="0.3">
      <c r="A174" s="15" t="s">
        <v>361</v>
      </c>
      <c r="B174">
        <v>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4"/>
  <sheetViews>
    <sheetView tabSelected="1" topLeftCell="C1" zoomScale="130" zoomScaleNormal="130" workbookViewId="0">
      <selection activeCell="I1" sqref="I1"/>
    </sheetView>
  </sheetViews>
  <sheetFormatPr defaultRowHeight="14.4" x14ac:dyDescent="0.3"/>
  <cols>
    <col min="2" max="2" width="45.109375" bestFit="1" customWidth="1"/>
    <col min="3" max="3" width="6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364</v>
      </c>
      <c r="K1" s="1" t="s">
        <v>8</v>
      </c>
      <c r="L1" s="1" t="s">
        <v>363</v>
      </c>
    </row>
    <row r="2" spans="1:12" x14ac:dyDescent="0.3">
      <c r="A2">
        <v>107447</v>
      </c>
      <c r="B2" t="s">
        <v>9</v>
      </c>
      <c r="C2" t="s">
        <v>168</v>
      </c>
      <c r="D2">
        <v>8314</v>
      </c>
      <c r="E2" t="s">
        <v>327</v>
      </c>
      <c r="F2" t="s">
        <v>330</v>
      </c>
      <c r="G2" t="s">
        <v>340</v>
      </c>
      <c r="H2">
        <v>13</v>
      </c>
      <c r="I2">
        <f>AVERAGE(H2)</f>
        <v>13</v>
      </c>
      <c r="J2" s="16" t="s">
        <v>365</v>
      </c>
      <c r="K2">
        <v>7</v>
      </c>
      <c r="L2">
        <v>5</v>
      </c>
    </row>
    <row r="3" spans="1:12" x14ac:dyDescent="0.3">
      <c r="A3">
        <v>94716</v>
      </c>
      <c r="B3" t="s">
        <v>10</v>
      </c>
      <c r="C3" t="s">
        <v>169</v>
      </c>
      <c r="D3">
        <v>8246</v>
      </c>
      <c r="E3" t="s">
        <v>328</v>
      </c>
      <c r="F3" t="s">
        <v>331</v>
      </c>
      <c r="G3" t="s">
        <v>340</v>
      </c>
      <c r="H3">
        <v>8</v>
      </c>
      <c r="I3">
        <f>AVERAGE(H3)</f>
        <v>8</v>
      </c>
      <c r="J3" s="17" t="s">
        <v>366</v>
      </c>
      <c r="K3">
        <v>1</v>
      </c>
      <c r="L3">
        <v>11</v>
      </c>
    </row>
    <row r="4" spans="1:12" x14ac:dyDescent="0.3">
      <c r="A4">
        <v>107135</v>
      </c>
      <c r="B4" t="s">
        <v>11</v>
      </c>
      <c r="C4" t="s">
        <v>170</v>
      </c>
      <c r="D4">
        <v>8314</v>
      </c>
      <c r="E4" t="s">
        <v>327</v>
      </c>
      <c r="F4" t="s">
        <v>332</v>
      </c>
      <c r="G4" t="s">
        <v>340</v>
      </c>
      <c r="H4">
        <v>11</v>
      </c>
      <c r="I4">
        <f>AVERAGE(H4)</f>
        <v>11</v>
      </c>
      <c r="J4" s="16" t="s">
        <v>365</v>
      </c>
      <c r="K4">
        <v>1</v>
      </c>
      <c r="L4">
        <v>10</v>
      </c>
    </row>
    <row r="5" spans="1:12" s="2" customFormat="1" x14ac:dyDescent="0.3">
      <c r="A5" s="2">
        <v>107390</v>
      </c>
      <c r="B5" s="2" t="s">
        <v>12</v>
      </c>
      <c r="C5" s="2" t="s">
        <v>171</v>
      </c>
      <c r="D5" s="2">
        <v>8314</v>
      </c>
      <c r="E5" s="2" t="s">
        <v>329</v>
      </c>
      <c r="H5" s="2">
        <v>11</v>
      </c>
      <c r="I5" s="2">
        <f>AVERAGE(H5)</f>
        <v>11</v>
      </c>
      <c r="J5" s="16" t="s">
        <v>365</v>
      </c>
      <c r="K5" s="2">
        <v>1</v>
      </c>
      <c r="L5" s="2">
        <v>1</v>
      </c>
    </row>
    <row r="6" spans="1:12" x14ac:dyDescent="0.3">
      <c r="A6">
        <v>108121</v>
      </c>
      <c r="B6" t="s">
        <v>13</v>
      </c>
      <c r="C6" t="s">
        <v>172</v>
      </c>
      <c r="D6">
        <v>8314</v>
      </c>
      <c r="E6" t="s">
        <v>328</v>
      </c>
      <c r="F6" t="s">
        <v>333</v>
      </c>
      <c r="G6" t="s">
        <v>340</v>
      </c>
      <c r="H6">
        <v>15</v>
      </c>
      <c r="I6">
        <f>AVERAGE(H6)</f>
        <v>15</v>
      </c>
      <c r="J6" s="16" t="s">
        <v>365</v>
      </c>
      <c r="K6">
        <v>1</v>
      </c>
      <c r="L6">
        <v>7</v>
      </c>
    </row>
    <row r="7" spans="1:12" x14ac:dyDescent="0.3">
      <c r="A7">
        <v>107242</v>
      </c>
      <c r="B7" t="s">
        <v>14</v>
      </c>
      <c r="C7" t="s">
        <v>173</v>
      </c>
      <c r="D7">
        <v>8314</v>
      </c>
      <c r="E7" t="s">
        <v>328</v>
      </c>
      <c r="F7" t="s">
        <v>334</v>
      </c>
      <c r="G7" t="s">
        <v>340</v>
      </c>
      <c r="H7">
        <v>17</v>
      </c>
      <c r="I7">
        <f>AVERAGE(H7)</f>
        <v>17</v>
      </c>
      <c r="J7" s="16" t="s">
        <v>365</v>
      </c>
      <c r="K7">
        <v>4</v>
      </c>
      <c r="L7">
        <v>11</v>
      </c>
    </row>
    <row r="8" spans="1:12" x14ac:dyDescent="0.3">
      <c r="A8">
        <v>108589</v>
      </c>
      <c r="B8" t="s">
        <v>15</v>
      </c>
      <c r="C8" t="s">
        <v>174</v>
      </c>
      <c r="D8">
        <v>8314</v>
      </c>
      <c r="E8" t="s">
        <v>327</v>
      </c>
      <c r="F8" t="s">
        <v>335</v>
      </c>
      <c r="G8" t="s">
        <v>340</v>
      </c>
      <c r="H8">
        <v>11</v>
      </c>
      <c r="I8">
        <f>AVERAGE(H8)</f>
        <v>11</v>
      </c>
      <c r="J8" s="16" t="s">
        <v>365</v>
      </c>
      <c r="K8">
        <v>4</v>
      </c>
      <c r="L8">
        <v>10</v>
      </c>
    </row>
    <row r="9" spans="1:12" x14ac:dyDescent="0.3">
      <c r="A9">
        <v>108522</v>
      </c>
      <c r="B9" t="s">
        <v>16</v>
      </c>
      <c r="C9" t="s">
        <v>175</v>
      </c>
      <c r="D9">
        <v>8315</v>
      </c>
      <c r="E9" t="s">
        <v>328</v>
      </c>
      <c r="F9" t="s">
        <v>334</v>
      </c>
      <c r="G9" t="s">
        <v>340</v>
      </c>
      <c r="H9">
        <v>13</v>
      </c>
      <c r="I9">
        <f>AVERAGE(H9)</f>
        <v>13</v>
      </c>
      <c r="J9" s="16" t="s">
        <v>365</v>
      </c>
      <c r="K9">
        <v>9</v>
      </c>
      <c r="L9">
        <v>18</v>
      </c>
    </row>
    <row r="10" spans="1:12" s="2" customFormat="1" x14ac:dyDescent="0.3">
      <c r="A10" s="2">
        <v>107218</v>
      </c>
      <c r="B10" s="2" t="s">
        <v>17</v>
      </c>
      <c r="C10" s="2" t="s">
        <v>176</v>
      </c>
      <c r="D10" s="2">
        <v>8314</v>
      </c>
      <c r="E10" s="2" t="s">
        <v>327</v>
      </c>
      <c r="F10" s="2" t="s">
        <v>336</v>
      </c>
      <c r="G10" s="2" t="s">
        <v>340</v>
      </c>
      <c r="H10" s="2">
        <v>10</v>
      </c>
      <c r="I10" s="2">
        <f>AVERAGE(H10)</f>
        <v>10</v>
      </c>
      <c r="J10" s="16" t="s">
        <v>365</v>
      </c>
      <c r="K10" s="2">
        <v>2</v>
      </c>
      <c r="L10" s="2">
        <v>19</v>
      </c>
    </row>
    <row r="11" spans="1:12" x14ac:dyDescent="0.3">
      <c r="A11">
        <v>108189</v>
      </c>
      <c r="B11" t="s">
        <v>18</v>
      </c>
      <c r="C11" t="s">
        <v>177</v>
      </c>
      <c r="D11">
        <v>8314</v>
      </c>
      <c r="E11" t="s">
        <v>327</v>
      </c>
      <c r="F11" t="s">
        <v>332</v>
      </c>
      <c r="G11" t="s">
        <v>340</v>
      </c>
      <c r="H11">
        <v>12</v>
      </c>
      <c r="I11">
        <f>AVERAGE(H11)</f>
        <v>12</v>
      </c>
      <c r="J11" s="16" t="s">
        <v>365</v>
      </c>
      <c r="K11">
        <v>4</v>
      </c>
      <c r="L11">
        <v>13</v>
      </c>
    </row>
    <row r="12" spans="1:12" x14ac:dyDescent="0.3">
      <c r="A12">
        <v>107372</v>
      </c>
      <c r="B12" t="s">
        <v>19</v>
      </c>
      <c r="C12" t="s">
        <v>178</v>
      </c>
      <c r="D12">
        <v>8314</v>
      </c>
      <c r="E12" t="s">
        <v>327</v>
      </c>
      <c r="F12" t="s">
        <v>332</v>
      </c>
      <c r="G12" t="s">
        <v>340</v>
      </c>
      <c r="H12">
        <v>15</v>
      </c>
      <c r="I12">
        <f>AVERAGE(H12)</f>
        <v>15</v>
      </c>
      <c r="J12" s="16" t="s">
        <v>365</v>
      </c>
      <c r="K12">
        <v>1</v>
      </c>
      <c r="L12">
        <v>16</v>
      </c>
    </row>
    <row r="13" spans="1:12" x14ac:dyDescent="0.3">
      <c r="A13">
        <v>108957</v>
      </c>
      <c r="B13" t="s">
        <v>20</v>
      </c>
      <c r="C13" t="s">
        <v>179</v>
      </c>
      <c r="D13">
        <v>8314</v>
      </c>
      <c r="E13" t="s">
        <v>328</v>
      </c>
      <c r="F13" t="s">
        <v>331</v>
      </c>
      <c r="G13" t="s">
        <v>340</v>
      </c>
      <c r="H13">
        <v>14</v>
      </c>
      <c r="I13">
        <f>AVERAGE(H13)</f>
        <v>14</v>
      </c>
      <c r="J13" s="16" t="s">
        <v>365</v>
      </c>
      <c r="K13">
        <v>5</v>
      </c>
      <c r="L13">
        <v>18</v>
      </c>
    </row>
    <row r="14" spans="1:12" x14ac:dyDescent="0.3">
      <c r="A14">
        <v>107440</v>
      </c>
      <c r="B14" t="s">
        <v>21</v>
      </c>
      <c r="C14" t="s">
        <v>180</v>
      </c>
      <c r="D14">
        <v>8314</v>
      </c>
      <c r="E14" t="s">
        <v>327</v>
      </c>
      <c r="F14" t="s">
        <v>337</v>
      </c>
      <c r="G14" t="s">
        <v>340</v>
      </c>
      <c r="H14">
        <v>16</v>
      </c>
      <c r="I14">
        <f>AVERAGE(H14)</f>
        <v>16</v>
      </c>
      <c r="J14" s="16" t="s">
        <v>365</v>
      </c>
      <c r="K14">
        <v>2</v>
      </c>
      <c r="L14">
        <v>15</v>
      </c>
    </row>
    <row r="15" spans="1:12" x14ac:dyDescent="0.3">
      <c r="A15">
        <v>108188</v>
      </c>
      <c r="B15" t="s">
        <v>22</v>
      </c>
      <c r="C15" t="s">
        <v>181</v>
      </c>
      <c r="D15">
        <v>8314</v>
      </c>
      <c r="E15" t="s">
        <v>327</v>
      </c>
      <c r="F15" t="s">
        <v>337</v>
      </c>
      <c r="G15" t="s">
        <v>340</v>
      </c>
      <c r="H15">
        <v>16</v>
      </c>
      <c r="I15">
        <f>AVERAGE(H15)</f>
        <v>16</v>
      </c>
      <c r="J15" s="16" t="s">
        <v>365</v>
      </c>
      <c r="K15">
        <v>1</v>
      </c>
      <c r="L15">
        <v>7</v>
      </c>
    </row>
    <row r="16" spans="1:12" x14ac:dyDescent="0.3">
      <c r="A16">
        <v>108855</v>
      </c>
      <c r="B16" t="s">
        <v>23</v>
      </c>
      <c r="C16" t="s">
        <v>182</v>
      </c>
      <c r="D16">
        <v>8314</v>
      </c>
      <c r="E16" t="s">
        <v>328</v>
      </c>
      <c r="F16" t="s">
        <v>331</v>
      </c>
      <c r="G16" t="s">
        <v>340</v>
      </c>
      <c r="H16">
        <v>18</v>
      </c>
      <c r="I16">
        <f>AVERAGE(H16)</f>
        <v>18</v>
      </c>
      <c r="J16" s="16" t="s">
        <v>365</v>
      </c>
      <c r="K16">
        <v>4</v>
      </c>
      <c r="L16">
        <v>15</v>
      </c>
    </row>
    <row r="17" spans="1:12" x14ac:dyDescent="0.3">
      <c r="A17">
        <v>108672</v>
      </c>
      <c r="B17" t="s">
        <v>24</v>
      </c>
      <c r="C17" t="s">
        <v>183</v>
      </c>
      <c r="D17">
        <v>8314</v>
      </c>
      <c r="E17" t="s">
        <v>328</v>
      </c>
      <c r="F17" t="s">
        <v>331</v>
      </c>
      <c r="G17" t="s">
        <v>340</v>
      </c>
      <c r="H17">
        <v>9</v>
      </c>
      <c r="I17">
        <f>AVERAGE(H17)</f>
        <v>9</v>
      </c>
      <c r="J17" s="17" t="s">
        <v>366</v>
      </c>
      <c r="K17">
        <v>5</v>
      </c>
      <c r="L17">
        <v>12</v>
      </c>
    </row>
    <row r="18" spans="1:12" x14ac:dyDescent="0.3">
      <c r="A18">
        <v>108138</v>
      </c>
      <c r="B18" t="s">
        <v>25</v>
      </c>
      <c r="C18" t="s">
        <v>184</v>
      </c>
      <c r="D18">
        <v>8314</v>
      </c>
      <c r="E18" t="s">
        <v>327</v>
      </c>
      <c r="F18" t="s">
        <v>337</v>
      </c>
      <c r="G18" t="s">
        <v>340</v>
      </c>
      <c r="H18">
        <v>14</v>
      </c>
      <c r="I18">
        <f>AVERAGE(H18)</f>
        <v>14</v>
      </c>
      <c r="J18" s="16" t="s">
        <v>365</v>
      </c>
      <c r="K18">
        <v>5</v>
      </c>
      <c r="L18">
        <v>16</v>
      </c>
    </row>
    <row r="19" spans="1:12" x14ac:dyDescent="0.3">
      <c r="A19">
        <v>107236</v>
      </c>
      <c r="B19" t="s">
        <v>26</v>
      </c>
      <c r="C19" t="s">
        <v>185</v>
      </c>
      <c r="D19">
        <v>8314</v>
      </c>
      <c r="E19" t="s">
        <v>328</v>
      </c>
      <c r="F19" t="s">
        <v>331</v>
      </c>
      <c r="G19" t="s">
        <v>340</v>
      </c>
      <c r="H19">
        <v>15</v>
      </c>
      <c r="I19">
        <f>AVERAGE(H19)</f>
        <v>15</v>
      </c>
      <c r="J19" s="16" t="s">
        <v>365</v>
      </c>
      <c r="K19">
        <v>1</v>
      </c>
      <c r="L19">
        <v>7</v>
      </c>
    </row>
    <row r="20" spans="1:12" x14ac:dyDescent="0.3">
      <c r="A20">
        <v>104204</v>
      </c>
      <c r="B20" t="s">
        <v>27</v>
      </c>
      <c r="C20" t="s">
        <v>186</v>
      </c>
      <c r="D20">
        <v>8307</v>
      </c>
      <c r="E20" t="s">
        <v>328</v>
      </c>
      <c r="F20" t="s">
        <v>331</v>
      </c>
      <c r="G20" t="s">
        <v>340</v>
      </c>
      <c r="H20">
        <v>15</v>
      </c>
      <c r="I20">
        <f>AVERAGE(H20)</f>
        <v>15</v>
      </c>
      <c r="J20" s="16" t="s">
        <v>365</v>
      </c>
      <c r="K20">
        <v>8</v>
      </c>
      <c r="L20">
        <v>19</v>
      </c>
    </row>
    <row r="21" spans="1:12" x14ac:dyDescent="0.3">
      <c r="A21">
        <v>107428</v>
      </c>
      <c r="B21" t="s">
        <v>28</v>
      </c>
      <c r="C21" t="s">
        <v>187</v>
      </c>
      <c r="D21">
        <v>8314</v>
      </c>
      <c r="E21" t="s">
        <v>328</v>
      </c>
      <c r="F21" t="s">
        <v>333</v>
      </c>
      <c r="G21" t="s">
        <v>340</v>
      </c>
      <c r="H21">
        <v>16</v>
      </c>
      <c r="I21">
        <f>AVERAGE(H21)</f>
        <v>16</v>
      </c>
      <c r="J21" s="16" t="s">
        <v>365</v>
      </c>
      <c r="K21">
        <v>2</v>
      </c>
      <c r="L21">
        <v>16</v>
      </c>
    </row>
    <row r="22" spans="1:12" s="2" customFormat="1" x14ac:dyDescent="0.3">
      <c r="A22" s="2">
        <v>107259</v>
      </c>
      <c r="B22" s="2" t="s">
        <v>29</v>
      </c>
      <c r="C22" s="2" t="s">
        <v>188</v>
      </c>
      <c r="D22" s="2">
        <v>8314</v>
      </c>
      <c r="E22" s="2" t="s">
        <v>328</v>
      </c>
      <c r="F22" s="2" t="s">
        <v>333</v>
      </c>
      <c r="G22" s="2" t="s">
        <v>340</v>
      </c>
      <c r="H22" s="2">
        <v>9</v>
      </c>
      <c r="I22" s="2">
        <f>AVERAGE(H22)</f>
        <v>9</v>
      </c>
      <c r="J22" s="17" t="s">
        <v>366</v>
      </c>
      <c r="K22" s="2">
        <v>2</v>
      </c>
      <c r="L22" s="2">
        <v>13</v>
      </c>
    </row>
    <row r="23" spans="1:12" x14ac:dyDescent="0.3">
      <c r="A23">
        <v>100088</v>
      </c>
      <c r="B23" t="s">
        <v>30</v>
      </c>
      <c r="C23" t="s">
        <v>189</v>
      </c>
      <c r="D23">
        <v>8307</v>
      </c>
      <c r="E23" t="s">
        <v>327</v>
      </c>
      <c r="F23" t="s">
        <v>337</v>
      </c>
      <c r="G23" t="s">
        <v>340</v>
      </c>
      <c r="H23">
        <v>13</v>
      </c>
      <c r="I23">
        <f>AVERAGE(H23)</f>
        <v>13</v>
      </c>
      <c r="J23" s="16" t="s">
        <v>365</v>
      </c>
      <c r="K23">
        <v>1</v>
      </c>
      <c r="L23">
        <v>12</v>
      </c>
    </row>
    <row r="24" spans="1:12" x14ac:dyDescent="0.3">
      <c r="A24">
        <v>108506</v>
      </c>
      <c r="B24" t="s">
        <v>31</v>
      </c>
      <c r="C24" t="s">
        <v>190</v>
      </c>
      <c r="D24">
        <v>8314</v>
      </c>
      <c r="E24" t="s">
        <v>327</v>
      </c>
      <c r="F24" t="s">
        <v>337</v>
      </c>
      <c r="G24" t="s">
        <v>340</v>
      </c>
      <c r="H24">
        <v>17</v>
      </c>
      <c r="I24">
        <f>AVERAGE(H24)</f>
        <v>17</v>
      </c>
      <c r="J24" s="16" t="s">
        <v>365</v>
      </c>
      <c r="K24">
        <v>1</v>
      </c>
      <c r="L24">
        <v>10</v>
      </c>
    </row>
    <row r="25" spans="1:12" x14ac:dyDescent="0.3">
      <c r="A25">
        <v>110376</v>
      </c>
      <c r="B25" t="s">
        <v>32</v>
      </c>
      <c r="C25" t="s">
        <v>191</v>
      </c>
      <c r="D25">
        <v>8314</v>
      </c>
      <c r="E25" t="s">
        <v>327</v>
      </c>
      <c r="F25" t="s">
        <v>337</v>
      </c>
      <c r="G25" t="s">
        <v>340</v>
      </c>
      <c r="H25">
        <v>16</v>
      </c>
      <c r="I25">
        <f>AVERAGE(H25)</f>
        <v>16</v>
      </c>
      <c r="J25" s="16" t="s">
        <v>365</v>
      </c>
      <c r="K25">
        <v>2</v>
      </c>
      <c r="L25">
        <v>8</v>
      </c>
    </row>
    <row r="26" spans="1:12" x14ac:dyDescent="0.3">
      <c r="A26">
        <v>109038</v>
      </c>
      <c r="B26" t="s">
        <v>33</v>
      </c>
      <c r="C26" t="s">
        <v>192</v>
      </c>
      <c r="D26">
        <v>8314</v>
      </c>
      <c r="E26" t="s">
        <v>328</v>
      </c>
      <c r="F26" t="s">
        <v>333</v>
      </c>
      <c r="G26" t="s">
        <v>340</v>
      </c>
      <c r="H26">
        <v>17</v>
      </c>
      <c r="I26">
        <f>AVERAGE(H26)</f>
        <v>17</v>
      </c>
      <c r="J26" s="16" t="s">
        <v>365</v>
      </c>
      <c r="K26">
        <v>4</v>
      </c>
      <c r="L26">
        <v>15</v>
      </c>
    </row>
    <row r="27" spans="1:12" x14ac:dyDescent="0.3">
      <c r="A27">
        <v>108727</v>
      </c>
      <c r="B27" t="s">
        <v>34</v>
      </c>
      <c r="C27" t="s">
        <v>193</v>
      </c>
      <c r="D27">
        <v>8314</v>
      </c>
      <c r="E27" t="s">
        <v>328</v>
      </c>
      <c r="F27" t="s">
        <v>333</v>
      </c>
      <c r="G27" t="s">
        <v>340</v>
      </c>
      <c r="H27">
        <v>12</v>
      </c>
      <c r="I27">
        <f>AVERAGE(H27)</f>
        <v>12</v>
      </c>
      <c r="J27" s="16" t="s">
        <v>365</v>
      </c>
      <c r="K27">
        <v>3</v>
      </c>
      <c r="L27">
        <v>7</v>
      </c>
    </row>
    <row r="28" spans="1:12" x14ac:dyDescent="0.3">
      <c r="A28">
        <v>93973</v>
      </c>
      <c r="B28" t="s">
        <v>35</v>
      </c>
      <c r="C28" t="s">
        <v>194</v>
      </c>
      <c r="D28">
        <v>8307</v>
      </c>
      <c r="E28" t="s">
        <v>328</v>
      </c>
      <c r="F28" t="s">
        <v>333</v>
      </c>
      <c r="G28" t="s">
        <v>340</v>
      </c>
      <c r="H28">
        <v>11</v>
      </c>
      <c r="I28">
        <f>AVERAGE(H28)</f>
        <v>11</v>
      </c>
      <c r="J28" s="16" t="s">
        <v>365</v>
      </c>
      <c r="K28">
        <v>2</v>
      </c>
      <c r="L28">
        <v>11</v>
      </c>
    </row>
    <row r="29" spans="1:12" s="2" customFormat="1" x14ac:dyDescent="0.3">
      <c r="A29" s="2">
        <v>108381</v>
      </c>
      <c r="B29" s="2" t="s">
        <v>36</v>
      </c>
      <c r="C29" s="2" t="s">
        <v>195</v>
      </c>
      <c r="D29" s="2">
        <v>8314</v>
      </c>
      <c r="E29" s="2" t="s">
        <v>328</v>
      </c>
      <c r="F29" s="2" t="s">
        <v>333</v>
      </c>
      <c r="G29" s="2" t="s">
        <v>340</v>
      </c>
      <c r="H29" s="2">
        <v>8</v>
      </c>
      <c r="I29" s="2">
        <f>AVERAGE(H29)</f>
        <v>8</v>
      </c>
      <c r="J29" s="17" t="s">
        <v>366</v>
      </c>
      <c r="K29" s="2">
        <v>9</v>
      </c>
      <c r="L29" s="2">
        <v>18</v>
      </c>
    </row>
    <row r="30" spans="1:12" s="2" customFormat="1" x14ac:dyDescent="0.3">
      <c r="A30" s="2">
        <v>108694</v>
      </c>
      <c r="B30" s="2" t="s">
        <v>37</v>
      </c>
      <c r="C30" s="2" t="s">
        <v>196</v>
      </c>
      <c r="D30" s="2">
        <v>8314</v>
      </c>
      <c r="E30" s="2" t="s">
        <v>328</v>
      </c>
      <c r="F30" s="2" t="s">
        <v>333</v>
      </c>
      <c r="G30" s="2" t="s">
        <v>340</v>
      </c>
      <c r="H30" s="2">
        <v>11</v>
      </c>
      <c r="I30" s="2">
        <f>AVERAGE(H30)</f>
        <v>11</v>
      </c>
      <c r="J30" s="16" t="s">
        <v>365</v>
      </c>
      <c r="K30" s="2">
        <v>2</v>
      </c>
      <c r="L30" s="2">
        <v>18</v>
      </c>
    </row>
    <row r="31" spans="1:12" x14ac:dyDescent="0.3">
      <c r="A31">
        <v>108421</v>
      </c>
      <c r="B31" t="s">
        <v>38</v>
      </c>
      <c r="C31" t="s">
        <v>197</v>
      </c>
      <c r="D31">
        <v>8314</v>
      </c>
      <c r="E31" t="s">
        <v>327</v>
      </c>
      <c r="F31" t="s">
        <v>337</v>
      </c>
      <c r="G31" t="s">
        <v>340</v>
      </c>
      <c r="H31">
        <v>13</v>
      </c>
      <c r="I31">
        <f>AVERAGE(H31)</f>
        <v>13</v>
      </c>
      <c r="J31" s="16" t="s">
        <v>365</v>
      </c>
      <c r="K31">
        <v>8</v>
      </c>
      <c r="L31">
        <v>16</v>
      </c>
    </row>
    <row r="32" spans="1:12" s="2" customFormat="1" x14ac:dyDescent="0.3">
      <c r="A32" s="2">
        <v>108366</v>
      </c>
      <c r="B32" s="2" t="s">
        <v>39</v>
      </c>
      <c r="C32" s="2" t="s">
        <v>198</v>
      </c>
      <c r="D32" s="2">
        <v>8314</v>
      </c>
      <c r="E32" s="2" t="s">
        <v>328</v>
      </c>
      <c r="F32" s="2" t="s">
        <v>333</v>
      </c>
      <c r="G32" s="2" t="s">
        <v>340</v>
      </c>
      <c r="H32" s="2">
        <v>8</v>
      </c>
      <c r="I32" s="2">
        <f>AVERAGE(H32)</f>
        <v>8</v>
      </c>
      <c r="J32" s="17" t="s">
        <v>366</v>
      </c>
      <c r="K32" s="2">
        <v>6</v>
      </c>
      <c r="L32" s="2">
        <v>13</v>
      </c>
    </row>
    <row r="33" spans="1:12" x14ac:dyDescent="0.3">
      <c r="A33">
        <v>109462</v>
      </c>
      <c r="B33" t="s">
        <v>40</v>
      </c>
      <c r="C33" t="s">
        <v>199</v>
      </c>
      <c r="D33">
        <v>8314</v>
      </c>
      <c r="E33" t="s">
        <v>328</v>
      </c>
      <c r="F33" t="s">
        <v>333</v>
      </c>
      <c r="G33" t="s">
        <v>340</v>
      </c>
      <c r="H33">
        <v>10</v>
      </c>
      <c r="I33">
        <f>AVERAGE(H33)</f>
        <v>10</v>
      </c>
      <c r="J33" s="16" t="s">
        <v>365</v>
      </c>
      <c r="K33">
        <v>1</v>
      </c>
      <c r="L33">
        <v>12</v>
      </c>
    </row>
    <row r="34" spans="1:12" x14ac:dyDescent="0.3">
      <c r="A34">
        <v>93742</v>
      </c>
      <c r="B34" t="s">
        <v>41</v>
      </c>
      <c r="C34" t="s">
        <v>200</v>
      </c>
      <c r="D34">
        <v>8307</v>
      </c>
      <c r="E34" t="s">
        <v>328</v>
      </c>
      <c r="F34" t="s">
        <v>333</v>
      </c>
      <c r="G34" t="s">
        <v>340</v>
      </c>
      <c r="H34">
        <v>11</v>
      </c>
      <c r="I34">
        <f>AVERAGE(H34)</f>
        <v>11</v>
      </c>
      <c r="J34" s="16" t="s">
        <v>365</v>
      </c>
      <c r="K34">
        <v>2</v>
      </c>
      <c r="L34">
        <v>14</v>
      </c>
    </row>
    <row r="35" spans="1:12" x14ac:dyDescent="0.3">
      <c r="A35">
        <v>109000</v>
      </c>
      <c r="B35" t="s">
        <v>42</v>
      </c>
      <c r="C35" t="s">
        <v>201</v>
      </c>
      <c r="D35">
        <v>8314</v>
      </c>
      <c r="E35" t="s">
        <v>328</v>
      </c>
      <c r="F35" t="s">
        <v>333</v>
      </c>
      <c r="G35" t="s">
        <v>340</v>
      </c>
      <c r="H35">
        <v>16</v>
      </c>
      <c r="I35">
        <f>AVERAGE(H35)</f>
        <v>16</v>
      </c>
      <c r="J35" s="16" t="s">
        <v>365</v>
      </c>
      <c r="K35">
        <v>6</v>
      </c>
      <c r="L35">
        <v>15</v>
      </c>
    </row>
    <row r="36" spans="1:12" s="2" customFormat="1" x14ac:dyDescent="0.3">
      <c r="A36" s="2">
        <v>107769</v>
      </c>
      <c r="B36" s="2" t="s">
        <v>43</v>
      </c>
      <c r="C36" s="2" t="s">
        <v>202</v>
      </c>
      <c r="D36" s="2">
        <v>8314</v>
      </c>
      <c r="E36" s="2" t="s">
        <v>328</v>
      </c>
      <c r="F36" s="2" t="s">
        <v>331</v>
      </c>
      <c r="G36" s="2" t="s">
        <v>340</v>
      </c>
      <c r="H36" s="2">
        <v>9</v>
      </c>
      <c r="I36" s="2">
        <f>AVERAGE(H36)</f>
        <v>9</v>
      </c>
      <c r="J36" s="17" t="s">
        <v>366</v>
      </c>
      <c r="K36" s="2">
        <v>4</v>
      </c>
      <c r="L36" s="2">
        <v>15</v>
      </c>
    </row>
    <row r="37" spans="1:12" s="2" customFormat="1" x14ac:dyDescent="0.3">
      <c r="A37" s="2">
        <v>101446</v>
      </c>
      <c r="B37" s="2" t="s">
        <v>44</v>
      </c>
      <c r="C37" s="2" t="s">
        <v>203</v>
      </c>
      <c r="D37" s="2">
        <v>8307</v>
      </c>
      <c r="E37" s="2" t="s">
        <v>327</v>
      </c>
      <c r="F37" s="2" t="s">
        <v>337</v>
      </c>
      <c r="G37" s="2" t="s">
        <v>340</v>
      </c>
      <c r="H37" s="2">
        <v>11</v>
      </c>
      <c r="I37" s="2">
        <f>AVERAGE(H37)</f>
        <v>11</v>
      </c>
      <c r="J37" s="16" t="s">
        <v>365</v>
      </c>
      <c r="K37" s="2">
        <v>2</v>
      </c>
      <c r="L37" s="2">
        <v>16</v>
      </c>
    </row>
    <row r="38" spans="1:12" x14ac:dyDescent="0.3">
      <c r="A38">
        <v>109061</v>
      </c>
      <c r="B38" t="s">
        <v>45</v>
      </c>
      <c r="C38" t="s">
        <v>204</v>
      </c>
      <c r="D38">
        <v>8314</v>
      </c>
      <c r="E38" t="s">
        <v>328</v>
      </c>
      <c r="F38" t="s">
        <v>333</v>
      </c>
      <c r="G38" t="s">
        <v>340</v>
      </c>
      <c r="H38">
        <v>11</v>
      </c>
      <c r="I38">
        <f>AVERAGE(H38)</f>
        <v>11</v>
      </c>
      <c r="J38" s="16" t="s">
        <v>365</v>
      </c>
      <c r="K38">
        <v>2</v>
      </c>
      <c r="L38">
        <v>9</v>
      </c>
    </row>
    <row r="39" spans="1:12" x14ac:dyDescent="0.3">
      <c r="A39">
        <v>107487</v>
      </c>
      <c r="B39" t="s">
        <v>46</v>
      </c>
      <c r="C39" t="s">
        <v>205</v>
      </c>
      <c r="D39">
        <v>8314</v>
      </c>
      <c r="E39" t="s">
        <v>327</v>
      </c>
      <c r="F39" t="s">
        <v>332</v>
      </c>
      <c r="G39" t="s">
        <v>340</v>
      </c>
      <c r="H39">
        <v>11</v>
      </c>
      <c r="I39">
        <f>AVERAGE(H39)</f>
        <v>11</v>
      </c>
      <c r="J39" s="16" t="s">
        <v>365</v>
      </c>
      <c r="K39">
        <v>5</v>
      </c>
      <c r="L39">
        <v>15</v>
      </c>
    </row>
    <row r="40" spans="1:12" x14ac:dyDescent="0.3">
      <c r="A40">
        <v>107436</v>
      </c>
      <c r="B40" t="s">
        <v>47</v>
      </c>
      <c r="C40" t="s">
        <v>206</v>
      </c>
      <c r="D40">
        <v>8314</v>
      </c>
      <c r="E40" t="s">
        <v>327</v>
      </c>
      <c r="F40" t="s">
        <v>337</v>
      </c>
      <c r="G40" t="s">
        <v>340</v>
      </c>
      <c r="H40">
        <v>15</v>
      </c>
      <c r="I40">
        <f>AVERAGE(H40)</f>
        <v>15</v>
      </c>
      <c r="J40" s="16" t="s">
        <v>365</v>
      </c>
      <c r="K40">
        <v>5</v>
      </c>
      <c r="L40">
        <v>13</v>
      </c>
    </row>
    <row r="41" spans="1:12" s="2" customFormat="1" x14ac:dyDescent="0.3">
      <c r="A41" s="2">
        <v>107529</v>
      </c>
      <c r="B41" s="2" t="s">
        <v>48</v>
      </c>
      <c r="C41" s="2" t="s">
        <v>207</v>
      </c>
      <c r="D41" s="2">
        <v>8314</v>
      </c>
      <c r="E41" s="2" t="s">
        <v>328</v>
      </c>
      <c r="F41" s="2" t="s">
        <v>333</v>
      </c>
      <c r="G41" s="2" t="s">
        <v>340</v>
      </c>
      <c r="H41" s="2">
        <v>8</v>
      </c>
      <c r="I41" s="2">
        <f>AVERAGE(H41)</f>
        <v>8</v>
      </c>
      <c r="J41" s="17" t="s">
        <v>366</v>
      </c>
      <c r="K41" s="2">
        <v>10</v>
      </c>
      <c r="L41" s="2">
        <v>18</v>
      </c>
    </row>
    <row r="42" spans="1:12" s="2" customFormat="1" x14ac:dyDescent="0.3">
      <c r="A42" s="2">
        <v>107879</v>
      </c>
      <c r="B42" s="2" t="s">
        <v>49</v>
      </c>
      <c r="C42" s="2" t="s">
        <v>208</v>
      </c>
      <c r="D42" s="2">
        <v>8314</v>
      </c>
      <c r="E42" s="2" t="s">
        <v>328</v>
      </c>
      <c r="F42" s="2" t="s">
        <v>333</v>
      </c>
      <c r="G42" s="2" t="s">
        <v>340</v>
      </c>
      <c r="H42" s="2">
        <v>9</v>
      </c>
      <c r="I42" s="2">
        <f>AVERAGE(H42)</f>
        <v>9</v>
      </c>
      <c r="J42" s="17" t="s">
        <v>366</v>
      </c>
      <c r="K42" s="2">
        <v>5</v>
      </c>
      <c r="L42" s="2">
        <v>13</v>
      </c>
    </row>
    <row r="43" spans="1:12" x14ac:dyDescent="0.3">
      <c r="A43">
        <v>107788</v>
      </c>
      <c r="B43" t="s">
        <v>50</v>
      </c>
      <c r="C43" t="s">
        <v>209</v>
      </c>
      <c r="D43">
        <v>8314</v>
      </c>
      <c r="E43" t="s">
        <v>328</v>
      </c>
      <c r="F43" t="s">
        <v>338</v>
      </c>
      <c r="G43" t="s">
        <v>340</v>
      </c>
      <c r="H43">
        <v>17</v>
      </c>
      <c r="I43">
        <f>AVERAGE(H43)</f>
        <v>17</v>
      </c>
      <c r="J43" s="16" t="s">
        <v>365</v>
      </c>
      <c r="K43">
        <v>7</v>
      </c>
      <c r="L43">
        <v>16</v>
      </c>
    </row>
    <row r="44" spans="1:12" x14ac:dyDescent="0.3">
      <c r="A44">
        <v>108449</v>
      </c>
      <c r="B44" t="s">
        <v>51</v>
      </c>
      <c r="C44" t="s">
        <v>210</v>
      </c>
      <c r="D44">
        <v>8314</v>
      </c>
      <c r="E44" t="s">
        <v>328</v>
      </c>
      <c r="F44" t="s">
        <v>338</v>
      </c>
      <c r="G44" t="s">
        <v>340</v>
      </c>
      <c r="H44">
        <v>17</v>
      </c>
      <c r="I44">
        <f>AVERAGE(H44)</f>
        <v>17</v>
      </c>
      <c r="J44" s="16" t="s">
        <v>365</v>
      </c>
      <c r="K44">
        <v>1</v>
      </c>
      <c r="L44">
        <v>8</v>
      </c>
    </row>
    <row r="45" spans="1:12" s="2" customFormat="1" x14ac:dyDescent="0.3">
      <c r="A45" s="2">
        <v>108651</v>
      </c>
      <c r="B45" s="2" t="s">
        <v>52</v>
      </c>
      <c r="C45" s="2" t="s">
        <v>211</v>
      </c>
      <c r="D45" s="2">
        <v>8314</v>
      </c>
      <c r="E45" s="2" t="s">
        <v>327</v>
      </c>
      <c r="F45" s="2" t="s">
        <v>332</v>
      </c>
      <c r="G45" s="2" t="s">
        <v>340</v>
      </c>
      <c r="H45" s="2">
        <v>8</v>
      </c>
      <c r="I45" s="2">
        <f>AVERAGE(H45)</f>
        <v>8</v>
      </c>
      <c r="J45" s="17" t="s">
        <v>366</v>
      </c>
      <c r="K45" s="2">
        <v>5</v>
      </c>
      <c r="L45" s="2">
        <v>13</v>
      </c>
    </row>
    <row r="46" spans="1:12" x14ac:dyDescent="0.3">
      <c r="A46">
        <v>107560</v>
      </c>
      <c r="B46" t="s">
        <v>53</v>
      </c>
      <c r="C46" t="s">
        <v>212</v>
      </c>
      <c r="D46">
        <v>8314</v>
      </c>
      <c r="E46" t="s">
        <v>328</v>
      </c>
      <c r="F46" t="s">
        <v>338</v>
      </c>
      <c r="G46" t="s">
        <v>340</v>
      </c>
      <c r="H46">
        <v>18</v>
      </c>
      <c r="I46">
        <f>AVERAGE(H46)</f>
        <v>18</v>
      </c>
      <c r="J46" s="16" t="s">
        <v>365</v>
      </c>
      <c r="K46">
        <v>6</v>
      </c>
      <c r="L46">
        <v>19</v>
      </c>
    </row>
    <row r="47" spans="1:12" x14ac:dyDescent="0.3">
      <c r="A47">
        <v>107977</v>
      </c>
      <c r="B47" t="s">
        <v>54</v>
      </c>
      <c r="C47" t="s">
        <v>213</v>
      </c>
      <c r="D47">
        <v>8314</v>
      </c>
      <c r="E47" t="s">
        <v>328</v>
      </c>
      <c r="F47" t="s">
        <v>338</v>
      </c>
      <c r="G47" t="s">
        <v>340</v>
      </c>
      <c r="H47">
        <v>12</v>
      </c>
      <c r="I47">
        <f>AVERAGE(H47)</f>
        <v>12</v>
      </c>
      <c r="J47" s="16" t="s">
        <v>365</v>
      </c>
      <c r="K47">
        <v>3</v>
      </c>
      <c r="L47">
        <v>15</v>
      </c>
    </row>
    <row r="48" spans="1:12" x14ac:dyDescent="0.3">
      <c r="A48">
        <v>107369</v>
      </c>
      <c r="B48" t="s">
        <v>55</v>
      </c>
      <c r="C48" t="s">
        <v>214</v>
      </c>
      <c r="D48">
        <v>8314</v>
      </c>
      <c r="E48" t="s">
        <v>327</v>
      </c>
      <c r="F48" t="s">
        <v>332</v>
      </c>
      <c r="G48" t="s">
        <v>340</v>
      </c>
      <c r="H48">
        <v>15</v>
      </c>
      <c r="I48">
        <f>AVERAGE(H48)</f>
        <v>15</v>
      </c>
      <c r="J48" s="16" t="s">
        <v>365</v>
      </c>
      <c r="K48">
        <v>1</v>
      </c>
      <c r="L48">
        <v>15</v>
      </c>
    </row>
    <row r="49" spans="1:12" x14ac:dyDescent="0.3">
      <c r="A49">
        <v>108171</v>
      </c>
      <c r="B49" t="s">
        <v>56</v>
      </c>
      <c r="C49" t="s">
        <v>215</v>
      </c>
      <c r="D49">
        <v>8314</v>
      </c>
      <c r="E49" t="s">
        <v>328</v>
      </c>
      <c r="F49" t="s">
        <v>338</v>
      </c>
      <c r="G49" t="s">
        <v>340</v>
      </c>
      <c r="H49">
        <v>11</v>
      </c>
      <c r="I49">
        <f>AVERAGE(H49)</f>
        <v>11</v>
      </c>
      <c r="J49" s="16" t="s">
        <v>365</v>
      </c>
      <c r="K49">
        <v>1</v>
      </c>
      <c r="L49">
        <v>10</v>
      </c>
    </row>
    <row r="50" spans="1:12" x14ac:dyDescent="0.3">
      <c r="A50">
        <v>107920</v>
      </c>
      <c r="B50" t="s">
        <v>57</v>
      </c>
      <c r="C50" t="s">
        <v>216</v>
      </c>
      <c r="D50">
        <v>8314</v>
      </c>
      <c r="E50" t="s">
        <v>327</v>
      </c>
      <c r="F50" t="s">
        <v>337</v>
      </c>
      <c r="G50" t="s">
        <v>340</v>
      </c>
      <c r="H50">
        <v>10</v>
      </c>
      <c r="I50">
        <f>AVERAGE(H50)</f>
        <v>10</v>
      </c>
      <c r="J50" s="16" t="s">
        <v>365</v>
      </c>
      <c r="K50">
        <v>2</v>
      </c>
      <c r="L50">
        <v>9</v>
      </c>
    </row>
    <row r="51" spans="1:12" x14ac:dyDescent="0.3">
      <c r="A51">
        <v>109342</v>
      </c>
      <c r="B51" t="s">
        <v>58</v>
      </c>
      <c r="C51" t="s">
        <v>217</v>
      </c>
      <c r="D51">
        <v>8314</v>
      </c>
      <c r="E51" t="s">
        <v>328</v>
      </c>
      <c r="F51" t="s">
        <v>338</v>
      </c>
      <c r="G51" t="s">
        <v>340</v>
      </c>
      <c r="H51">
        <v>15</v>
      </c>
      <c r="I51">
        <f>AVERAGE(H51)</f>
        <v>15</v>
      </c>
      <c r="J51" s="16" t="s">
        <v>365</v>
      </c>
      <c r="K51">
        <v>3</v>
      </c>
      <c r="L51">
        <v>10</v>
      </c>
    </row>
    <row r="52" spans="1:12" s="2" customFormat="1" x14ac:dyDescent="0.3">
      <c r="A52" s="2">
        <v>108430</v>
      </c>
      <c r="B52" s="2" t="s">
        <v>59</v>
      </c>
      <c r="C52" s="2" t="s">
        <v>218</v>
      </c>
      <c r="D52" s="2">
        <v>8314</v>
      </c>
      <c r="E52" s="2" t="s">
        <v>327</v>
      </c>
      <c r="F52" s="2" t="s">
        <v>332</v>
      </c>
      <c r="G52" s="2" t="s">
        <v>340</v>
      </c>
      <c r="H52" s="2">
        <v>10</v>
      </c>
      <c r="I52" s="2">
        <f>AVERAGE(H52)</f>
        <v>10</v>
      </c>
      <c r="J52" s="16" t="s">
        <v>365</v>
      </c>
      <c r="K52" s="2">
        <v>1</v>
      </c>
      <c r="L52" s="2">
        <v>17</v>
      </c>
    </row>
    <row r="53" spans="1:12" s="2" customFormat="1" x14ac:dyDescent="0.3">
      <c r="A53" s="2">
        <v>108816</v>
      </c>
      <c r="B53" s="2" t="s">
        <v>60</v>
      </c>
      <c r="C53" s="2" t="s">
        <v>219</v>
      </c>
      <c r="D53" s="2">
        <v>8314</v>
      </c>
      <c r="E53" s="2" t="s">
        <v>328</v>
      </c>
      <c r="F53" s="2" t="s">
        <v>338</v>
      </c>
      <c r="G53" s="2" t="s">
        <v>340</v>
      </c>
      <c r="H53" s="2">
        <v>8</v>
      </c>
      <c r="I53" s="2">
        <f>AVERAGE(H53)</f>
        <v>8</v>
      </c>
      <c r="J53" s="17" t="s">
        <v>366</v>
      </c>
      <c r="K53" s="2">
        <v>5</v>
      </c>
      <c r="L53" s="2">
        <v>19</v>
      </c>
    </row>
    <row r="54" spans="1:12" s="2" customFormat="1" x14ac:dyDescent="0.3">
      <c r="A54" s="2">
        <v>108842</v>
      </c>
      <c r="B54" s="2" t="s">
        <v>61</v>
      </c>
      <c r="C54" s="2" t="s">
        <v>220</v>
      </c>
      <c r="D54" s="2">
        <v>8314</v>
      </c>
      <c r="E54" s="2" t="s">
        <v>328</v>
      </c>
      <c r="F54" s="2" t="s">
        <v>338</v>
      </c>
      <c r="G54" s="2" t="s">
        <v>340</v>
      </c>
      <c r="H54" s="2">
        <v>8</v>
      </c>
      <c r="I54" s="2">
        <f>AVERAGE(H54)</f>
        <v>8</v>
      </c>
      <c r="J54" s="17" t="s">
        <v>366</v>
      </c>
      <c r="K54" s="2">
        <v>1</v>
      </c>
      <c r="L54" s="2">
        <v>13</v>
      </c>
    </row>
    <row r="55" spans="1:12" x14ac:dyDescent="0.3">
      <c r="A55">
        <v>103797</v>
      </c>
      <c r="B55" t="s">
        <v>62</v>
      </c>
      <c r="C55" t="s">
        <v>221</v>
      </c>
      <c r="D55">
        <v>8307</v>
      </c>
      <c r="E55" t="s">
        <v>328</v>
      </c>
      <c r="F55" t="s">
        <v>338</v>
      </c>
      <c r="G55" t="s">
        <v>340</v>
      </c>
      <c r="H55">
        <v>12</v>
      </c>
      <c r="I55">
        <f>AVERAGE(H55)</f>
        <v>12</v>
      </c>
      <c r="J55" s="16" t="s">
        <v>365</v>
      </c>
      <c r="K55">
        <v>2</v>
      </c>
      <c r="L55">
        <v>10</v>
      </c>
    </row>
    <row r="56" spans="1:12" x14ac:dyDescent="0.3">
      <c r="A56">
        <v>107777</v>
      </c>
      <c r="B56" t="s">
        <v>63</v>
      </c>
      <c r="C56" t="s">
        <v>222</v>
      </c>
      <c r="D56">
        <v>8314</v>
      </c>
      <c r="E56" t="s">
        <v>327</v>
      </c>
      <c r="F56" t="s">
        <v>337</v>
      </c>
      <c r="G56" t="s">
        <v>340</v>
      </c>
      <c r="H56">
        <v>13</v>
      </c>
      <c r="I56">
        <f>AVERAGE(H56)</f>
        <v>13</v>
      </c>
      <c r="J56" s="16" t="s">
        <v>365</v>
      </c>
      <c r="K56">
        <v>4</v>
      </c>
      <c r="L56">
        <v>13</v>
      </c>
    </row>
    <row r="57" spans="1:12" x14ac:dyDescent="0.3">
      <c r="A57">
        <v>107717</v>
      </c>
      <c r="B57" t="s">
        <v>64</v>
      </c>
      <c r="C57" t="s">
        <v>223</v>
      </c>
      <c r="D57">
        <v>8314</v>
      </c>
      <c r="E57" t="s">
        <v>328</v>
      </c>
      <c r="F57" t="s">
        <v>338</v>
      </c>
      <c r="G57" t="s">
        <v>340</v>
      </c>
      <c r="H57">
        <v>13</v>
      </c>
      <c r="I57">
        <f>AVERAGE(H57)</f>
        <v>13</v>
      </c>
      <c r="J57" s="16" t="s">
        <v>365</v>
      </c>
      <c r="K57">
        <v>2</v>
      </c>
      <c r="L57">
        <v>12</v>
      </c>
    </row>
    <row r="58" spans="1:12" x14ac:dyDescent="0.3">
      <c r="A58">
        <v>103443</v>
      </c>
      <c r="B58" t="s">
        <v>65</v>
      </c>
      <c r="C58" t="s">
        <v>224</v>
      </c>
      <c r="D58">
        <v>8307</v>
      </c>
      <c r="E58" t="s">
        <v>327</v>
      </c>
      <c r="F58" t="s">
        <v>337</v>
      </c>
      <c r="G58" t="s">
        <v>340</v>
      </c>
      <c r="H58">
        <v>14</v>
      </c>
      <c r="I58">
        <f>AVERAGE(H58)</f>
        <v>14</v>
      </c>
      <c r="J58" s="16" t="s">
        <v>365</v>
      </c>
      <c r="K58">
        <v>5</v>
      </c>
      <c r="L58">
        <v>14</v>
      </c>
    </row>
    <row r="59" spans="1:12" x14ac:dyDescent="0.3">
      <c r="A59">
        <v>108950</v>
      </c>
      <c r="B59" t="s">
        <v>66</v>
      </c>
      <c r="C59" t="s">
        <v>225</v>
      </c>
      <c r="D59">
        <v>8314</v>
      </c>
      <c r="E59" t="s">
        <v>328</v>
      </c>
      <c r="F59" t="s">
        <v>338</v>
      </c>
      <c r="G59" t="s">
        <v>340</v>
      </c>
      <c r="H59">
        <v>16</v>
      </c>
      <c r="I59">
        <f>AVERAGE(H59)</f>
        <v>16</v>
      </c>
      <c r="J59" s="16" t="s">
        <v>365</v>
      </c>
      <c r="K59">
        <v>7</v>
      </c>
      <c r="L59">
        <v>18</v>
      </c>
    </row>
    <row r="60" spans="1:12" x14ac:dyDescent="0.3">
      <c r="A60">
        <v>108079</v>
      </c>
      <c r="B60" t="s">
        <v>67</v>
      </c>
      <c r="C60" t="s">
        <v>226</v>
      </c>
      <c r="D60">
        <v>8314</v>
      </c>
      <c r="E60" t="s">
        <v>328</v>
      </c>
      <c r="F60" t="s">
        <v>338</v>
      </c>
      <c r="G60" t="s">
        <v>340</v>
      </c>
      <c r="H60">
        <v>12</v>
      </c>
      <c r="I60">
        <f>AVERAGE(H60)</f>
        <v>12</v>
      </c>
      <c r="J60" s="16" t="s">
        <v>365</v>
      </c>
      <c r="K60">
        <v>1</v>
      </c>
      <c r="L60">
        <v>7</v>
      </c>
    </row>
    <row r="61" spans="1:12" s="2" customFormat="1" x14ac:dyDescent="0.3">
      <c r="A61" s="2">
        <v>109163</v>
      </c>
      <c r="B61" s="2" t="s">
        <v>68</v>
      </c>
      <c r="C61" s="2" t="s">
        <v>227</v>
      </c>
      <c r="D61" s="2">
        <v>8314</v>
      </c>
      <c r="E61" s="2" t="s">
        <v>328</v>
      </c>
      <c r="F61" s="2" t="s">
        <v>338</v>
      </c>
      <c r="G61" s="2" t="s">
        <v>340</v>
      </c>
      <c r="H61" s="2">
        <v>9</v>
      </c>
      <c r="I61" s="2">
        <f>AVERAGE(H61)</f>
        <v>9</v>
      </c>
      <c r="J61" s="17" t="s">
        <v>366</v>
      </c>
      <c r="K61" s="2">
        <v>7</v>
      </c>
      <c r="L61" s="2">
        <v>18</v>
      </c>
    </row>
    <row r="62" spans="1:12" x14ac:dyDescent="0.3">
      <c r="A62">
        <v>110347</v>
      </c>
      <c r="B62" t="s">
        <v>69</v>
      </c>
      <c r="C62" t="s">
        <v>228</v>
      </c>
      <c r="D62">
        <v>8314</v>
      </c>
      <c r="E62" t="s">
        <v>328</v>
      </c>
      <c r="F62" t="s">
        <v>338</v>
      </c>
      <c r="G62" t="s">
        <v>340</v>
      </c>
      <c r="H62">
        <v>12</v>
      </c>
      <c r="I62">
        <f>AVERAGE(H62)</f>
        <v>12</v>
      </c>
      <c r="J62" s="16" t="s">
        <v>365</v>
      </c>
      <c r="K62">
        <v>8</v>
      </c>
      <c r="L62">
        <v>15</v>
      </c>
    </row>
    <row r="63" spans="1:12" x14ac:dyDescent="0.3">
      <c r="A63">
        <v>109373</v>
      </c>
      <c r="B63" t="s">
        <v>70</v>
      </c>
      <c r="C63" t="s">
        <v>229</v>
      </c>
      <c r="D63">
        <v>8314</v>
      </c>
      <c r="E63" t="s">
        <v>328</v>
      </c>
      <c r="F63" t="s">
        <v>338</v>
      </c>
      <c r="G63" t="s">
        <v>340</v>
      </c>
      <c r="H63">
        <v>17</v>
      </c>
      <c r="I63">
        <f>AVERAGE(H63)</f>
        <v>17</v>
      </c>
      <c r="J63" s="16" t="s">
        <v>365</v>
      </c>
      <c r="K63">
        <v>1</v>
      </c>
      <c r="L63">
        <v>11</v>
      </c>
    </row>
    <row r="64" spans="1:12" x14ac:dyDescent="0.3">
      <c r="A64">
        <v>103203</v>
      </c>
      <c r="B64" t="s">
        <v>71</v>
      </c>
      <c r="C64" t="s">
        <v>230</v>
      </c>
      <c r="D64">
        <v>8295</v>
      </c>
      <c r="E64" t="s">
        <v>328</v>
      </c>
      <c r="F64" t="s">
        <v>336</v>
      </c>
      <c r="G64" t="s">
        <v>340</v>
      </c>
      <c r="H64">
        <v>18</v>
      </c>
      <c r="I64">
        <f>AVERAGE(H64)</f>
        <v>18</v>
      </c>
      <c r="J64" s="16" t="s">
        <v>365</v>
      </c>
      <c r="K64">
        <v>4</v>
      </c>
      <c r="L64">
        <v>17</v>
      </c>
    </row>
    <row r="65" spans="1:12" x14ac:dyDescent="0.3">
      <c r="A65">
        <v>107335</v>
      </c>
      <c r="B65" t="s">
        <v>72</v>
      </c>
      <c r="C65" t="s">
        <v>231</v>
      </c>
      <c r="D65">
        <v>8314</v>
      </c>
      <c r="E65" t="s">
        <v>327</v>
      </c>
      <c r="F65" t="s">
        <v>339</v>
      </c>
      <c r="G65" t="s">
        <v>340</v>
      </c>
      <c r="H65">
        <v>18</v>
      </c>
      <c r="I65">
        <f>AVERAGE(H65)</f>
        <v>18</v>
      </c>
      <c r="J65" s="16" t="s">
        <v>365</v>
      </c>
      <c r="K65">
        <v>1</v>
      </c>
      <c r="L65">
        <v>13</v>
      </c>
    </row>
    <row r="66" spans="1:12" x14ac:dyDescent="0.3">
      <c r="A66">
        <v>93345</v>
      </c>
      <c r="B66" t="s">
        <v>73</v>
      </c>
      <c r="C66" t="s">
        <v>232</v>
      </c>
      <c r="D66">
        <v>8250</v>
      </c>
      <c r="E66" t="s">
        <v>327</v>
      </c>
      <c r="F66" t="s">
        <v>339</v>
      </c>
      <c r="G66" t="s">
        <v>340</v>
      </c>
      <c r="H66">
        <v>16</v>
      </c>
      <c r="I66">
        <f>AVERAGE(H66)</f>
        <v>16</v>
      </c>
      <c r="J66" s="16" t="s">
        <v>365</v>
      </c>
      <c r="K66">
        <v>2</v>
      </c>
      <c r="L66">
        <v>18</v>
      </c>
    </row>
    <row r="67" spans="1:12" x14ac:dyDescent="0.3">
      <c r="A67">
        <v>103409</v>
      </c>
      <c r="B67" t="s">
        <v>74</v>
      </c>
      <c r="C67" t="s">
        <v>233</v>
      </c>
      <c r="D67">
        <v>8307</v>
      </c>
      <c r="E67" t="s">
        <v>328</v>
      </c>
      <c r="F67" t="s">
        <v>336</v>
      </c>
      <c r="G67" t="s">
        <v>340</v>
      </c>
      <c r="H67">
        <v>9</v>
      </c>
      <c r="I67">
        <f>AVERAGE(H67)</f>
        <v>9</v>
      </c>
      <c r="J67" s="17" t="s">
        <v>366</v>
      </c>
      <c r="K67">
        <v>3</v>
      </c>
      <c r="L67">
        <v>12</v>
      </c>
    </row>
    <row r="68" spans="1:12" s="2" customFormat="1" x14ac:dyDescent="0.3">
      <c r="A68" s="2">
        <v>108105</v>
      </c>
      <c r="B68" s="2" t="s">
        <v>75</v>
      </c>
      <c r="C68" s="2" t="s">
        <v>234</v>
      </c>
      <c r="D68" s="2">
        <v>8314</v>
      </c>
      <c r="E68" s="2" t="s">
        <v>328</v>
      </c>
      <c r="F68" s="2" t="s">
        <v>336</v>
      </c>
      <c r="G68" s="2" t="s">
        <v>340</v>
      </c>
      <c r="H68" s="2">
        <v>9</v>
      </c>
      <c r="I68" s="2">
        <f>AVERAGE(H68)</f>
        <v>9</v>
      </c>
      <c r="J68" s="17" t="s">
        <v>366</v>
      </c>
      <c r="K68" s="2">
        <v>2</v>
      </c>
      <c r="L68" s="2">
        <v>19</v>
      </c>
    </row>
    <row r="69" spans="1:12" x14ac:dyDescent="0.3">
      <c r="A69">
        <v>107848</v>
      </c>
      <c r="B69" t="s">
        <v>76</v>
      </c>
      <c r="C69" t="s">
        <v>235</v>
      </c>
      <c r="D69">
        <v>8314</v>
      </c>
      <c r="E69" t="s">
        <v>328</v>
      </c>
      <c r="F69" t="s">
        <v>336</v>
      </c>
      <c r="G69" t="s">
        <v>340</v>
      </c>
      <c r="H69">
        <v>15</v>
      </c>
      <c r="I69">
        <f>AVERAGE(H69)</f>
        <v>15</v>
      </c>
      <c r="J69" s="16" t="s">
        <v>365</v>
      </c>
      <c r="K69">
        <v>2</v>
      </c>
      <c r="L69">
        <v>15</v>
      </c>
    </row>
    <row r="70" spans="1:12" x14ac:dyDescent="0.3">
      <c r="A70">
        <v>107318</v>
      </c>
      <c r="B70" t="s">
        <v>77</v>
      </c>
      <c r="C70" t="s">
        <v>236</v>
      </c>
      <c r="D70">
        <v>8314</v>
      </c>
      <c r="E70" t="s">
        <v>327</v>
      </c>
      <c r="F70" t="s">
        <v>339</v>
      </c>
      <c r="G70" t="s">
        <v>340</v>
      </c>
      <c r="H70">
        <v>17</v>
      </c>
      <c r="I70">
        <f>AVERAGE(H70)</f>
        <v>17</v>
      </c>
      <c r="J70" s="16" t="s">
        <v>365</v>
      </c>
      <c r="K70">
        <v>4</v>
      </c>
      <c r="L70">
        <v>9</v>
      </c>
    </row>
    <row r="71" spans="1:12" x14ac:dyDescent="0.3">
      <c r="A71">
        <v>107611</v>
      </c>
      <c r="B71" t="s">
        <v>78</v>
      </c>
      <c r="C71" t="s">
        <v>237</v>
      </c>
      <c r="D71">
        <v>8314</v>
      </c>
      <c r="E71" t="s">
        <v>327</v>
      </c>
      <c r="F71" t="s">
        <v>339</v>
      </c>
      <c r="G71" t="s">
        <v>340</v>
      </c>
      <c r="H71">
        <v>17</v>
      </c>
      <c r="I71">
        <f>AVERAGE(H71)</f>
        <v>17</v>
      </c>
      <c r="J71" s="16" t="s">
        <v>365</v>
      </c>
      <c r="K71">
        <v>8</v>
      </c>
      <c r="L71">
        <v>18</v>
      </c>
    </row>
    <row r="72" spans="1:12" x14ac:dyDescent="0.3">
      <c r="A72">
        <v>108845</v>
      </c>
      <c r="B72" t="s">
        <v>79</v>
      </c>
      <c r="C72" t="s">
        <v>238</v>
      </c>
      <c r="D72">
        <v>8314</v>
      </c>
      <c r="E72" t="s">
        <v>328</v>
      </c>
      <c r="F72" t="s">
        <v>336</v>
      </c>
      <c r="G72" t="s">
        <v>340</v>
      </c>
      <c r="H72">
        <v>11</v>
      </c>
      <c r="I72">
        <f>AVERAGE(H72)</f>
        <v>11</v>
      </c>
      <c r="J72" s="16" t="s">
        <v>365</v>
      </c>
      <c r="K72">
        <v>1</v>
      </c>
      <c r="L72">
        <v>10</v>
      </c>
    </row>
    <row r="73" spans="1:12" x14ac:dyDescent="0.3">
      <c r="A73">
        <v>108098</v>
      </c>
      <c r="B73" t="s">
        <v>80</v>
      </c>
      <c r="C73" t="s">
        <v>239</v>
      </c>
      <c r="D73">
        <v>8314</v>
      </c>
      <c r="E73" t="s">
        <v>328</v>
      </c>
      <c r="F73" t="s">
        <v>336</v>
      </c>
      <c r="G73" t="s">
        <v>340</v>
      </c>
      <c r="H73">
        <v>14</v>
      </c>
      <c r="I73">
        <f>AVERAGE(H73)</f>
        <v>14</v>
      </c>
      <c r="J73" s="16" t="s">
        <v>365</v>
      </c>
      <c r="K73">
        <v>9</v>
      </c>
      <c r="L73">
        <v>16</v>
      </c>
    </row>
    <row r="74" spans="1:12" x14ac:dyDescent="0.3">
      <c r="A74">
        <v>108723</v>
      </c>
      <c r="B74" t="s">
        <v>81</v>
      </c>
      <c r="C74" t="s">
        <v>240</v>
      </c>
      <c r="D74">
        <v>8313</v>
      </c>
      <c r="E74" t="s">
        <v>327</v>
      </c>
      <c r="F74" t="s">
        <v>339</v>
      </c>
      <c r="G74" t="s">
        <v>340</v>
      </c>
      <c r="H74">
        <v>15</v>
      </c>
      <c r="I74">
        <f>AVERAGE(H74)</f>
        <v>15</v>
      </c>
      <c r="J74" s="16" t="s">
        <v>365</v>
      </c>
      <c r="K74">
        <v>3</v>
      </c>
      <c r="L74">
        <v>14</v>
      </c>
    </row>
    <row r="75" spans="1:12" x14ac:dyDescent="0.3">
      <c r="A75">
        <v>103757</v>
      </c>
      <c r="B75" t="s">
        <v>82</v>
      </c>
      <c r="C75" t="s">
        <v>241</v>
      </c>
      <c r="D75">
        <v>8307</v>
      </c>
      <c r="E75" t="s">
        <v>328</v>
      </c>
      <c r="F75" t="s">
        <v>336</v>
      </c>
      <c r="G75" t="s">
        <v>340</v>
      </c>
      <c r="H75">
        <v>10</v>
      </c>
      <c r="I75">
        <f>AVERAGE(H75)</f>
        <v>10</v>
      </c>
      <c r="J75" s="16" t="s">
        <v>365</v>
      </c>
      <c r="K75">
        <v>1</v>
      </c>
      <c r="L75">
        <v>12</v>
      </c>
    </row>
    <row r="76" spans="1:12" x14ac:dyDescent="0.3">
      <c r="A76">
        <v>107396</v>
      </c>
      <c r="B76" t="s">
        <v>83</v>
      </c>
      <c r="C76" t="s">
        <v>242</v>
      </c>
      <c r="D76">
        <v>8314</v>
      </c>
      <c r="E76" t="s">
        <v>328</v>
      </c>
      <c r="F76" t="s">
        <v>336</v>
      </c>
      <c r="G76" t="s">
        <v>340</v>
      </c>
      <c r="H76">
        <v>8</v>
      </c>
      <c r="I76">
        <f>AVERAGE(H76)</f>
        <v>8</v>
      </c>
      <c r="J76" s="17" t="s">
        <v>366</v>
      </c>
      <c r="K76">
        <v>1</v>
      </c>
      <c r="L76">
        <v>10</v>
      </c>
    </row>
    <row r="77" spans="1:12" x14ac:dyDescent="0.3">
      <c r="A77">
        <v>108675</v>
      </c>
      <c r="B77" t="s">
        <v>84</v>
      </c>
      <c r="C77" t="s">
        <v>243</v>
      </c>
      <c r="D77">
        <v>8314</v>
      </c>
      <c r="E77" t="s">
        <v>328</v>
      </c>
      <c r="F77" t="s">
        <v>336</v>
      </c>
      <c r="G77" t="s">
        <v>340</v>
      </c>
      <c r="H77">
        <v>11</v>
      </c>
      <c r="I77">
        <f>AVERAGE(H77)</f>
        <v>11</v>
      </c>
      <c r="J77" s="16" t="s">
        <v>365</v>
      </c>
      <c r="K77">
        <v>2</v>
      </c>
      <c r="L77">
        <v>11</v>
      </c>
    </row>
    <row r="78" spans="1:12" x14ac:dyDescent="0.3">
      <c r="A78">
        <v>107584</v>
      </c>
      <c r="B78" t="s">
        <v>85</v>
      </c>
      <c r="C78" t="s">
        <v>244</v>
      </c>
      <c r="D78">
        <v>8314</v>
      </c>
      <c r="E78" t="s">
        <v>327</v>
      </c>
      <c r="F78" t="s">
        <v>339</v>
      </c>
      <c r="G78" t="s">
        <v>340</v>
      </c>
      <c r="H78">
        <v>13</v>
      </c>
      <c r="I78">
        <f>AVERAGE(H78)</f>
        <v>13</v>
      </c>
      <c r="J78" s="16" t="s">
        <v>365</v>
      </c>
      <c r="K78">
        <v>3</v>
      </c>
      <c r="L78">
        <v>12</v>
      </c>
    </row>
    <row r="79" spans="1:12" x14ac:dyDescent="0.3">
      <c r="A79">
        <v>108329</v>
      </c>
      <c r="B79" t="s">
        <v>86</v>
      </c>
      <c r="C79" t="s">
        <v>245</v>
      </c>
      <c r="D79">
        <v>8314</v>
      </c>
      <c r="E79" t="s">
        <v>327</v>
      </c>
      <c r="F79" t="s">
        <v>332</v>
      </c>
      <c r="G79" t="s">
        <v>340</v>
      </c>
      <c r="H79">
        <v>17</v>
      </c>
      <c r="I79">
        <f>AVERAGE(H79)</f>
        <v>17</v>
      </c>
      <c r="J79" s="16" t="s">
        <v>365</v>
      </c>
      <c r="K79">
        <v>1</v>
      </c>
      <c r="L79">
        <v>10</v>
      </c>
    </row>
    <row r="80" spans="1:12" x14ac:dyDescent="0.3">
      <c r="A80">
        <v>107874</v>
      </c>
      <c r="B80" t="s">
        <v>87</v>
      </c>
      <c r="C80" t="s">
        <v>246</v>
      </c>
      <c r="D80">
        <v>8314</v>
      </c>
      <c r="E80" t="s">
        <v>328</v>
      </c>
      <c r="F80" t="s">
        <v>336</v>
      </c>
      <c r="G80" t="s">
        <v>340</v>
      </c>
      <c r="H80">
        <v>18</v>
      </c>
      <c r="I80">
        <f>AVERAGE(H80)</f>
        <v>18</v>
      </c>
      <c r="J80" s="16" t="s">
        <v>365</v>
      </c>
      <c r="K80">
        <v>2</v>
      </c>
      <c r="L80">
        <v>10</v>
      </c>
    </row>
    <row r="81" spans="1:12" x14ac:dyDescent="0.3">
      <c r="A81">
        <v>107517</v>
      </c>
      <c r="B81" t="s">
        <v>88</v>
      </c>
      <c r="C81" t="s">
        <v>247</v>
      </c>
      <c r="D81">
        <v>8314</v>
      </c>
      <c r="E81" t="s">
        <v>328</v>
      </c>
      <c r="F81" t="s">
        <v>336</v>
      </c>
      <c r="G81" t="s">
        <v>340</v>
      </c>
      <c r="H81">
        <v>12</v>
      </c>
      <c r="I81">
        <f>AVERAGE(H81)</f>
        <v>12</v>
      </c>
      <c r="J81" s="16" t="s">
        <v>365</v>
      </c>
      <c r="K81">
        <v>2</v>
      </c>
      <c r="L81">
        <v>14</v>
      </c>
    </row>
    <row r="82" spans="1:12" x14ac:dyDescent="0.3">
      <c r="A82">
        <v>108513</v>
      </c>
      <c r="B82" t="s">
        <v>89</v>
      </c>
      <c r="C82" t="s">
        <v>248</v>
      </c>
      <c r="D82">
        <v>8314</v>
      </c>
      <c r="E82" t="s">
        <v>327</v>
      </c>
      <c r="F82" t="s">
        <v>339</v>
      </c>
      <c r="G82" t="s">
        <v>340</v>
      </c>
      <c r="H82">
        <v>12</v>
      </c>
      <c r="I82">
        <f>AVERAGE(H82)</f>
        <v>12</v>
      </c>
      <c r="J82" s="16" t="s">
        <v>365</v>
      </c>
      <c r="K82">
        <v>6</v>
      </c>
      <c r="L82">
        <v>16</v>
      </c>
    </row>
    <row r="83" spans="1:12" x14ac:dyDescent="0.3">
      <c r="A83">
        <v>104342</v>
      </c>
      <c r="B83" t="s">
        <v>90</v>
      </c>
      <c r="C83" t="s">
        <v>249</v>
      </c>
      <c r="D83">
        <v>8307</v>
      </c>
      <c r="E83" t="s">
        <v>328</v>
      </c>
      <c r="F83" t="s">
        <v>336</v>
      </c>
      <c r="G83" t="s">
        <v>340</v>
      </c>
      <c r="H83">
        <v>14</v>
      </c>
      <c r="I83">
        <f>AVERAGE(H83)</f>
        <v>14</v>
      </c>
      <c r="J83" s="16" t="s">
        <v>365</v>
      </c>
      <c r="K83">
        <v>3</v>
      </c>
      <c r="L83">
        <v>16</v>
      </c>
    </row>
    <row r="84" spans="1:12" x14ac:dyDescent="0.3">
      <c r="A84">
        <v>108752</v>
      </c>
      <c r="B84" t="s">
        <v>91</v>
      </c>
      <c r="C84" t="s">
        <v>250</v>
      </c>
      <c r="D84">
        <v>8314</v>
      </c>
      <c r="E84" t="s">
        <v>328</v>
      </c>
      <c r="F84" t="s">
        <v>336</v>
      </c>
      <c r="G84" t="s">
        <v>340</v>
      </c>
      <c r="H84">
        <v>12</v>
      </c>
      <c r="I84">
        <f>AVERAGE(H84)</f>
        <v>12</v>
      </c>
      <c r="J84" s="16" t="s">
        <v>365</v>
      </c>
      <c r="K84">
        <v>2</v>
      </c>
      <c r="L84">
        <v>16</v>
      </c>
    </row>
    <row r="85" spans="1:12" x14ac:dyDescent="0.3">
      <c r="A85">
        <v>103712</v>
      </c>
      <c r="B85" t="s">
        <v>92</v>
      </c>
      <c r="C85" t="s">
        <v>251</v>
      </c>
      <c r="D85">
        <v>8264</v>
      </c>
      <c r="E85" t="s">
        <v>328</v>
      </c>
      <c r="F85" t="s">
        <v>336</v>
      </c>
      <c r="G85" t="s">
        <v>340</v>
      </c>
      <c r="H85">
        <v>12</v>
      </c>
      <c r="I85">
        <f>AVERAGE(H85)</f>
        <v>12</v>
      </c>
      <c r="J85" s="16" t="s">
        <v>365</v>
      </c>
      <c r="K85">
        <v>2</v>
      </c>
      <c r="L85">
        <v>14</v>
      </c>
    </row>
    <row r="86" spans="1:12" x14ac:dyDescent="0.3">
      <c r="A86">
        <v>108849</v>
      </c>
      <c r="B86" t="s">
        <v>93</v>
      </c>
      <c r="C86" t="s">
        <v>252</v>
      </c>
      <c r="D86">
        <v>8314</v>
      </c>
      <c r="E86" t="s">
        <v>328</v>
      </c>
      <c r="F86" t="s">
        <v>336</v>
      </c>
      <c r="G86" t="s">
        <v>4</v>
      </c>
      <c r="H86">
        <v>11</v>
      </c>
      <c r="I86">
        <f>AVERAGE(H86)</f>
        <v>11</v>
      </c>
      <c r="J86" s="16" t="s">
        <v>365</v>
      </c>
      <c r="K86">
        <v>4</v>
      </c>
      <c r="L86">
        <v>10</v>
      </c>
    </row>
    <row r="87" spans="1:12" s="2" customFormat="1" x14ac:dyDescent="0.3">
      <c r="A87" s="2">
        <v>108868</v>
      </c>
      <c r="B87" s="2" t="s">
        <v>94</v>
      </c>
      <c r="C87" s="2" t="s">
        <v>253</v>
      </c>
      <c r="D87" s="2">
        <v>8314</v>
      </c>
      <c r="E87" s="2" t="s">
        <v>328</v>
      </c>
      <c r="F87" s="2" t="s">
        <v>335</v>
      </c>
      <c r="G87" s="2" t="s">
        <v>340</v>
      </c>
      <c r="H87" s="2">
        <v>12</v>
      </c>
      <c r="I87" s="2">
        <f>AVERAGE(H87)</f>
        <v>12</v>
      </c>
      <c r="J87" s="16" t="s">
        <v>365</v>
      </c>
      <c r="K87" s="2">
        <v>1</v>
      </c>
      <c r="L87" s="2">
        <v>17</v>
      </c>
    </row>
    <row r="88" spans="1:12" x14ac:dyDescent="0.3">
      <c r="A88">
        <v>102380</v>
      </c>
      <c r="B88" t="s">
        <v>95</v>
      </c>
      <c r="C88" t="s">
        <v>254</v>
      </c>
      <c r="D88">
        <v>8220</v>
      </c>
      <c r="E88" t="s">
        <v>328</v>
      </c>
      <c r="F88" t="s">
        <v>335</v>
      </c>
      <c r="G88" t="s">
        <v>340</v>
      </c>
      <c r="H88">
        <v>12</v>
      </c>
      <c r="I88">
        <f>AVERAGE(H88)</f>
        <v>12</v>
      </c>
      <c r="J88" s="16" t="s">
        <v>365</v>
      </c>
      <c r="K88">
        <v>1</v>
      </c>
      <c r="L88">
        <v>9</v>
      </c>
    </row>
    <row r="89" spans="1:12" x14ac:dyDescent="0.3">
      <c r="A89">
        <v>107265</v>
      </c>
      <c r="B89" t="s">
        <v>96</v>
      </c>
      <c r="C89" t="s">
        <v>255</v>
      </c>
      <c r="D89">
        <v>8314</v>
      </c>
      <c r="E89" t="s">
        <v>328</v>
      </c>
      <c r="F89" t="s">
        <v>335</v>
      </c>
      <c r="G89" t="s">
        <v>340</v>
      </c>
      <c r="H89">
        <v>16</v>
      </c>
      <c r="I89">
        <f>AVERAGE(H89)</f>
        <v>16</v>
      </c>
      <c r="J89" s="16" t="s">
        <v>365</v>
      </c>
      <c r="K89">
        <v>7</v>
      </c>
      <c r="L89">
        <v>19</v>
      </c>
    </row>
    <row r="90" spans="1:12" x14ac:dyDescent="0.3">
      <c r="A90">
        <v>108280</v>
      </c>
      <c r="B90" t="s">
        <v>97</v>
      </c>
      <c r="C90" t="s">
        <v>256</v>
      </c>
      <c r="D90">
        <v>8314</v>
      </c>
      <c r="E90" t="s">
        <v>327</v>
      </c>
      <c r="F90" t="s">
        <v>339</v>
      </c>
      <c r="G90" t="s">
        <v>340</v>
      </c>
      <c r="H90">
        <v>12</v>
      </c>
      <c r="I90">
        <f>AVERAGE(H90)</f>
        <v>12</v>
      </c>
      <c r="J90" s="16" t="s">
        <v>365</v>
      </c>
      <c r="K90">
        <v>3</v>
      </c>
      <c r="L90">
        <v>10</v>
      </c>
    </row>
    <row r="91" spans="1:12" s="2" customFormat="1" x14ac:dyDescent="0.3">
      <c r="A91" s="2">
        <v>97610</v>
      </c>
      <c r="B91" s="2" t="s">
        <v>98</v>
      </c>
      <c r="C91" s="2" t="s">
        <v>257</v>
      </c>
      <c r="D91" s="2">
        <v>8307</v>
      </c>
      <c r="E91" s="2" t="s">
        <v>328</v>
      </c>
      <c r="F91" s="2" t="s">
        <v>335</v>
      </c>
      <c r="G91" s="2" t="s">
        <v>340</v>
      </c>
      <c r="H91" s="2">
        <v>11</v>
      </c>
      <c r="I91" s="2">
        <f>AVERAGE(H91)</f>
        <v>11</v>
      </c>
      <c r="J91" s="16" t="s">
        <v>365</v>
      </c>
      <c r="K91" s="2">
        <v>2</v>
      </c>
      <c r="L91" s="2">
        <v>16</v>
      </c>
    </row>
    <row r="92" spans="1:12" x14ac:dyDescent="0.3">
      <c r="A92">
        <v>93316</v>
      </c>
      <c r="B92" t="s">
        <v>99</v>
      </c>
      <c r="C92" t="s">
        <v>258</v>
      </c>
      <c r="D92">
        <v>8258</v>
      </c>
      <c r="E92" t="s">
        <v>327</v>
      </c>
      <c r="F92" t="s">
        <v>339</v>
      </c>
      <c r="G92" t="s">
        <v>340</v>
      </c>
      <c r="H92">
        <v>18</v>
      </c>
      <c r="I92">
        <f>AVERAGE(H92)</f>
        <v>18</v>
      </c>
      <c r="J92" s="16" t="s">
        <v>365</v>
      </c>
      <c r="K92">
        <v>1</v>
      </c>
      <c r="L92">
        <v>17</v>
      </c>
    </row>
    <row r="93" spans="1:12" x14ac:dyDescent="0.3">
      <c r="A93">
        <v>110331</v>
      </c>
      <c r="B93" t="s">
        <v>100</v>
      </c>
      <c r="C93" t="s">
        <v>259</v>
      </c>
      <c r="D93">
        <v>8220</v>
      </c>
      <c r="E93" t="s">
        <v>328</v>
      </c>
      <c r="F93" t="s">
        <v>335</v>
      </c>
      <c r="G93" t="s">
        <v>340</v>
      </c>
      <c r="H93">
        <v>15</v>
      </c>
      <c r="I93">
        <f>AVERAGE(H93)</f>
        <v>15</v>
      </c>
      <c r="J93" s="16" t="s">
        <v>365</v>
      </c>
      <c r="K93">
        <v>1</v>
      </c>
      <c r="L93">
        <v>18</v>
      </c>
    </row>
    <row r="94" spans="1:12" x14ac:dyDescent="0.3">
      <c r="A94">
        <v>104807</v>
      </c>
      <c r="B94" t="s">
        <v>101</v>
      </c>
      <c r="C94" t="s">
        <v>260</v>
      </c>
      <c r="D94">
        <v>9179</v>
      </c>
      <c r="E94" t="s">
        <v>328</v>
      </c>
      <c r="F94" t="s">
        <v>335</v>
      </c>
      <c r="G94" t="s">
        <v>340</v>
      </c>
      <c r="H94">
        <v>13</v>
      </c>
      <c r="I94">
        <f>AVERAGE(H94)</f>
        <v>13</v>
      </c>
      <c r="J94" s="16" t="s">
        <v>365</v>
      </c>
      <c r="K94">
        <v>3</v>
      </c>
      <c r="L94">
        <v>14</v>
      </c>
    </row>
    <row r="95" spans="1:12" x14ac:dyDescent="0.3">
      <c r="A95">
        <v>108679</v>
      </c>
      <c r="B95" t="s">
        <v>102</v>
      </c>
      <c r="C95" t="s">
        <v>261</v>
      </c>
      <c r="D95">
        <v>8220</v>
      </c>
      <c r="E95" t="s">
        <v>328</v>
      </c>
      <c r="F95" t="s">
        <v>335</v>
      </c>
      <c r="G95" t="s">
        <v>340</v>
      </c>
      <c r="H95">
        <v>13</v>
      </c>
      <c r="I95">
        <f>AVERAGE(H95)</f>
        <v>13</v>
      </c>
      <c r="J95" s="16" t="s">
        <v>365</v>
      </c>
      <c r="K95">
        <v>3</v>
      </c>
      <c r="L95">
        <v>14</v>
      </c>
    </row>
    <row r="96" spans="1:12" s="2" customFormat="1" x14ac:dyDescent="0.3">
      <c r="A96" s="2">
        <v>103028</v>
      </c>
      <c r="B96" s="2" t="s">
        <v>103</v>
      </c>
      <c r="C96" s="2" t="s">
        <v>262</v>
      </c>
      <c r="D96" s="2">
        <v>8240</v>
      </c>
      <c r="E96" s="2" t="s">
        <v>328</v>
      </c>
      <c r="F96" s="2" t="s">
        <v>335</v>
      </c>
      <c r="G96" s="2" t="s">
        <v>340</v>
      </c>
      <c r="H96" s="2">
        <v>8</v>
      </c>
      <c r="I96" s="2">
        <f>AVERAGE(H96)</f>
        <v>8</v>
      </c>
      <c r="J96" s="17" t="s">
        <v>366</v>
      </c>
      <c r="K96" s="2">
        <v>4</v>
      </c>
      <c r="L96" s="2">
        <v>12</v>
      </c>
    </row>
    <row r="97" spans="1:12" x14ac:dyDescent="0.3">
      <c r="A97">
        <v>105114</v>
      </c>
      <c r="B97" t="s">
        <v>104</v>
      </c>
      <c r="C97" t="s">
        <v>263</v>
      </c>
      <c r="D97">
        <v>8220</v>
      </c>
      <c r="E97" t="s">
        <v>328</v>
      </c>
      <c r="F97" t="s">
        <v>335</v>
      </c>
      <c r="G97" t="s">
        <v>340</v>
      </c>
      <c r="H97">
        <v>9</v>
      </c>
      <c r="I97">
        <f>AVERAGE(H97)</f>
        <v>9</v>
      </c>
      <c r="J97" s="17" t="s">
        <v>366</v>
      </c>
      <c r="K97">
        <v>2</v>
      </c>
      <c r="L97">
        <v>8</v>
      </c>
    </row>
    <row r="98" spans="1:12" s="2" customFormat="1" x14ac:dyDescent="0.3">
      <c r="A98" s="2">
        <v>108800</v>
      </c>
      <c r="B98" s="2" t="s">
        <v>105</v>
      </c>
      <c r="C98" s="2" t="s">
        <v>264</v>
      </c>
      <c r="D98" s="2">
        <v>8305</v>
      </c>
      <c r="E98" s="2" t="s">
        <v>328</v>
      </c>
      <c r="F98" s="2" t="s">
        <v>335</v>
      </c>
      <c r="G98" s="2" t="s">
        <v>340</v>
      </c>
      <c r="H98" s="2">
        <v>13</v>
      </c>
      <c r="I98" s="2">
        <f>AVERAGE(H98)</f>
        <v>13</v>
      </c>
      <c r="J98" s="16" t="s">
        <v>365</v>
      </c>
      <c r="K98" s="2">
        <v>7</v>
      </c>
      <c r="L98" s="2">
        <v>19</v>
      </c>
    </row>
    <row r="99" spans="1:12" x14ac:dyDescent="0.3">
      <c r="A99">
        <v>108050</v>
      </c>
      <c r="B99" t="s">
        <v>106</v>
      </c>
      <c r="C99" t="s">
        <v>265</v>
      </c>
      <c r="D99">
        <v>8220</v>
      </c>
      <c r="E99" t="s">
        <v>328</v>
      </c>
      <c r="F99" t="s">
        <v>335</v>
      </c>
      <c r="G99" t="s">
        <v>340</v>
      </c>
      <c r="H99">
        <v>17</v>
      </c>
      <c r="I99">
        <f>AVERAGE(H99)</f>
        <v>17</v>
      </c>
      <c r="J99" s="16" t="s">
        <v>365</v>
      </c>
      <c r="K99">
        <v>2</v>
      </c>
      <c r="L99">
        <v>9</v>
      </c>
    </row>
    <row r="100" spans="1:12" x14ac:dyDescent="0.3">
      <c r="A100">
        <v>105491</v>
      </c>
      <c r="B100" t="s">
        <v>107</v>
      </c>
      <c r="C100" t="s">
        <v>266</v>
      </c>
      <c r="D100">
        <v>8220</v>
      </c>
      <c r="E100" t="s">
        <v>328</v>
      </c>
      <c r="F100" t="s">
        <v>335</v>
      </c>
      <c r="G100" t="s">
        <v>340</v>
      </c>
      <c r="H100">
        <v>11</v>
      </c>
      <c r="I100">
        <f>AVERAGE(H100)</f>
        <v>11</v>
      </c>
      <c r="J100" s="16" t="s">
        <v>365</v>
      </c>
      <c r="K100">
        <v>1</v>
      </c>
      <c r="L100">
        <v>9</v>
      </c>
    </row>
    <row r="101" spans="1:12" s="2" customFormat="1" x14ac:dyDescent="0.3">
      <c r="A101" s="2">
        <v>102976</v>
      </c>
      <c r="B101" s="2" t="s">
        <v>108</v>
      </c>
      <c r="C101" s="2" t="s">
        <v>267</v>
      </c>
      <c r="D101" s="2">
        <v>8220</v>
      </c>
      <c r="E101" s="2" t="s">
        <v>328</v>
      </c>
      <c r="F101" s="2" t="s">
        <v>335</v>
      </c>
      <c r="G101" s="2" t="s">
        <v>340</v>
      </c>
      <c r="H101" s="2">
        <v>8</v>
      </c>
      <c r="I101" s="2">
        <f>AVERAGE(H101)</f>
        <v>8</v>
      </c>
      <c r="J101" s="17" t="s">
        <v>366</v>
      </c>
      <c r="K101" s="2">
        <v>1</v>
      </c>
      <c r="L101" s="2">
        <v>15</v>
      </c>
    </row>
    <row r="102" spans="1:12" x14ac:dyDescent="0.3">
      <c r="A102">
        <v>108826</v>
      </c>
      <c r="B102" t="s">
        <v>109</v>
      </c>
      <c r="C102" t="s">
        <v>268</v>
      </c>
      <c r="D102">
        <v>8220</v>
      </c>
      <c r="E102" t="s">
        <v>328</v>
      </c>
      <c r="F102" t="s">
        <v>335</v>
      </c>
      <c r="G102" t="s">
        <v>340</v>
      </c>
      <c r="H102">
        <v>13</v>
      </c>
      <c r="I102">
        <f>AVERAGE(H102)</f>
        <v>13</v>
      </c>
      <c r="J102" s="16" t="s">
        <v>365</v>
      </c>
      <c r="K102">
        <v>1</v>
      </c>
      <c r="L102">
        <v>8</v>
      </c>
    </row>
    <row r="103" spans="1:12" s="2" customFormat="1" x14ac:dyDescent="0.3">
      <c r="A103" s="2">
        <v>108436</v>
      </c>
      <c r="B103" s="2" t="s">
        <v>110</v>
      </c>
      <c r="C103" s="2" t="s">
        <v>269</v>
      </c>
      <c r="D103" s="2">
        <v>8220</v>
      </c>
      <c r="E103" s="2" t="s">
        <v>328</v>
      </c>
      <c r="F103" s="2" t="s">
        <v>335</v>
      </c>
      <c r="G103" s="2" t="s">
        <v>340</v>
      </c>
      <c r="H103" s="2">
        <v>8</v>
      </c>
      <c r="I103" s="2">
        <f>AVERAGE(H103)</f>
        <v>8</v>
      </c>
      <c r="J103" s="17" t="s">
        <v>366</v>
      </c>
      <c r="K103" s="2">
        <v>1</v>
      </c>
      <c r="L103" s="2">
        <v>12</v>
      </c>
    </row>
    <row r="104" spans="1:12" s="2" customFormat="1" x14ac:dyDescent="0.3">
      <c r="A104" s="2">
        <v>107233</v>
      </c>
      <c r="B104" s="2" t="s">
        <v>111</v>
      </c>
      <c r="C104" s="2" t="s">
        <v>270</v>
      </c>
      <c r="D104" s="2">
        <v>8220</v>
      </c>
      <c r="E104" s="2" t="s">
        <v>328</v>
      </c>
      <c r="F104" s="2" t="s">
        <v>334</v>
      </c>
      <c r="G104" s="2" t="s">
        <v>340</v>
      </c>
      <c r="H104" s="2">
        <v>9</v>
      </c>
      <c r="I104" s="2">
        <f>AVERAGE(H104)</f>
        <v>9</v>
      </c>
      <c r="J104" s="17" t="s">
        <v>366</v>
      </c>
      <c r="K104" s="2">
        <v>8</v>
      </c>
      <c r="L104" s="2">
        <v>15</v>
      </c>
    </row>
    <row r="105" spans="1:12" x14ac:dyDescent="0.3">
      <c r="A105">
        <v>103167</v>
      </c>
      <c r="B105" t="s">
        <v>112</v>
      </c>
      <c r="C105" t="s">
        <v>271</v>
      </c>
      <c r="D105">
        <v>8220</v>
      </c>
      <c r="E105" t="s">
        <v>328</v>
      </c>
      <c r="F105" t="s">
        <v>334</v>
      </c>
      <c r="G105" t="s">
        <v>340</v>
      </c>
      <c r="H105">
        <v>10</v>
      </c>
      <c r="I105">
        <f>AVERAGE(H105)</f>
        <v>10</v>
      </c>
      <c r="J105" s="16" t="s">
        <v>365</v>
      </c>
      <c r="K105">
        <v>1</v>
      </c>
      <c r="L105">
        <v>11</v>
      </c>
    </row>
    <row r="106" spans="1:12" x14ac:dyDescent="0.3">
      <c r="A106">
        <v>108760</v>
      </c>
      <c r="B106" t="s">
        <v>113</v>
      </c>
      <c r="C106" t="s">
        <v>272</v>
      </c>
      <c r="D106">
        <v>8220</v>
      </c>
      <c r="E106" t="s">
        <v>327</v>
      </c>
      <c r="F106" t="s">
        <v>339</v>
      </c>
      <c r="G106" t="s">
        <v>340</v>
      </c>
      <c r="H106">
        <v>12</v>
      </c>
      <c r="I106">
        <f>AVERAGE(H106)</f>
        <v>12</v>
      </c>
      <c r="J106" s="16" t="s">
        <v>365</v>
      </c>
      <c r="K106">
        <v>1</v>
      </c>
      <c r="L106">
        <v>7</v>
      </c>
    </row>
    <row r="107" spans="1:12" s="2" customFormat="1" x14ac:dyDescent="0.3">
      <c r="A107" s="2">
        <v>103326</v>
      </c>
      <c r="B107" s="2" t="s">
        <v>114</v>
      </c>
      <c r="C107" s="2" t="s">
        <v>273</v>
      </c>
      <c r="D107" s="2">
        <v>8220</v>
      </c>
      <c r="E107" s="2" t="s">
        <v>327</v>
      </c>
      <c r="F107" s="2" t="s">
        <v>339</v>
      </c>
      <c r="G107" s="2" t="s">
        <v>340</v>
      </c>
      <c r="H107" s="2">
        <v>10</v>
      </c>
      <c r="I107" s="2">
        <f>AVERAGE(H107)</f>
        <v>10</v>
      </c>
      <c r="J107" s="16" t="s">
        <v>365</v>
      </c>
      <c r="K107" s="2">
        <v>2</v>
      </c>
      <c r="L107" s="2">
        <v>18</v>
      </c>
    </row>
    <row r="108" spans="1:12" x14ac:dyDescent="0.3">
      <c r="A108">
        <v>109152</v>
      </c>
      <c r="B108" t="s">
        <v>115</v>
      </c>
      <c r="C108" t="s">
        <v>274</v>
      </c>
      <c r="D108">
        <v>8220</v>
      </c>
      <c r="E108" t="s">
        <v>328</v>
      </c>
      <c r="F108" t="s">
        <v>334</v>
      </c>
      <c r="G108" t="s">
        <v>340</v>
      </c>
      <c r="H108">
        <v>8</v>
      </c>
      <c r="I108">
        <f>AVERAGE(H108)</f>
        <v>8</v>
      </c>
      <c r="J108" s="17" t="s">
        <v>366</v>
      </c>
      <c r="K108">
        <v>1</v>
      </c>
      <c r="L108">
        <v>9</v>
      </c>
    </row>
    <row r="109" spans="1:12" x14ac:dyDescent="0.3">
      <c r="A109">
        <v>107895</v>
      </c>
      <c r="B109" t="s">
        <v>116</v>
      </c>
      <c r="C109" t="s">
        <v>275</v>
      </c>
      <c r="D109">
        <v>8220</v>
      </c>
      <c r="E109" t="s">
        <v>327</v>
      </c>
      <c r="F109" t="s">
        <v>332</v>
      </c>
      <c r="G109" t="s">
        <v>340</v>
      </c>
      <c r="H109">
        <v>11</v>
      </c>
      <c r="I109">
        <f>AVERAGE(H109)</f>
        <v>11</v>
      </c>
      <c r="J109" s="16" t="s">
        <v>365</v>
      </c>
      <c r="K109">
        <v>5</v>
      </c>
      <c r="L109">
        <v>12</v>
      </c>
    </row>
    <row r="110" spans="1:12" x14ac:dyDescent="0.3">
      <c r="A110">
        <v>107267</v>
      </c>
      <c r="B110" t="s">
        <v>117</v>
      </c>
      <c r="C110" t="s">
        <v>276</v>
      </c>
      <c r="D110">
        <v>8220</v>
      </c>
      <c r="E110" t="s">
        <v>328</v>
      </c>
      <c r="F110" t="s">
        <v>334</v>
      </c>
      <c r="G110" t="s">
        <v>340</v>
      </c>
      <c r="H110">
        <v>10</v>
      </c>
      <c r="I110">
        <f>AVERAGE(H110)</f>
        <v>10</v>
      </c>
      <c r="J110" s="16" t="s">
        <v>365</v>
      </c>
      <c r="K110">
        <v>2</v>
      </c>
      <c r="L110">
        <v>12</v>
      </c>
    </row>
    <row r="111" spans="1:12" x14ac:dyDescent="0.3">
      <c r="A111">
        <v>103309</v>
      </c>
      <c r="B111" t="s">
        <v>118</v>
      </c>
      <c r="C111" t="s">
        <v>277</v>
      </c>
      <c r="D111">
        <v>8220</v>
      </c>
      <c r="E111" t="s">
        <v>327</v>
      </c>
      <c r="F111" t="s">
        <v>332</v>
      </c>
      <c r="G111" t="s">
        <v>340</v>
      </c>
      <c r="H111">
        <v>18</v>
      </c>
      <c r="I111">
        <f>AVERAGE(H111)</f>
        <v>18</v>
      </c>
      <c r="J111" s="16" t="s">
        <v>365</v>
      </c>
      <c r="K111">
        <v>2</v>
      </c>
      <c r="L111">
        <v>7</v>
      </c>
    </row>
    <row r="112" spans="1:12" s="2" customFormat="1" x14ac:dyDescent="0.3">
      <c r="A112" s="2">
        <v>99440</v>
      </c>
      <c r="B112" s="2" t="s">
        <v>119</v>
      </c>
      <c r="C112" s="2" t="s">
        <v>278</v>
      </c>
      <c r="D112" s="2">
        <v>8220</v>
      </c>
      <c r="E112" s="2" t="s">
        <v>328</v>
      </c>
      <c r="F112" s="2" t="s">
        <v>334</v>
      </c>
      <c r="G112" s="2" t="s">
        <v>340</v>
      </c>
      <c r="H112" s="2">
        <v>8</v>
      </c>
      <c r="I112" s="2">
        <f>AVERAGE(H112)</f>
        <v>8</v>
      </c>
      <c r="J112" s="17" t="s">
        <v>366</v>
      </c>
      <c r="K112" s="2">
        <v>10</v>
      </c>
      <c r="L112" s="2">
        <v>15</v>
      </c>
    </row>
    <row r="113" spans="1:12" x14ac:dyDescent="0.3">
      <c r="A113">
        <v>93274</v>
      </c>
      <c r="B113" t="s">
        <v>120</v>
      </c>
      <c r="C113" t="s">
        <v>279</v>
      </c>
      <c r="D113">
        <v>8258</v>
      </c>
      <c r="E113" t="s">
        <v>328</v>
      </c>
      <c r="F113" t="s">
        <v>334</v>
      </c>
      <c r="G113" t="s">
        <v>340</v>
      </c>
      <c r="H113">
        <v>15</v>
      </c>
      <c r="I113">
        <f>AVERAGE(H113)</f>
        <v>15</v>
      </c>
      <c r="J113" s="16" t="s">
        <v>365</v>
      </c>
      <c r="K113">
        <v>2</v>
      </c>
      <c r="L113">
        <v>8</v>
      </c>
    </row>
    <row r="114" spans="1:12" x14ac:dyDescent="0.3">
      <c r="A114">
        <v>102859</v>
      </c>
      <c r="B114" t="s">
        <v>121</v>
      </c>
      <c r="C114" t="s">
        <v>280</v>
      </c>
      <c r="D114">
        <v>8220</v>
      </c>
      <c r="E114" t="s">
        <v>328</v>
      </c>
      <c r="F114" t="s">
        <v>334</v>
      </c>
      <c r="G114" t="s">
        <v>340</v>
      </c>
      <c r="H114">
        <v>13</v>
      </c>
      <c r="I114">
        <f>AVERAGE(H114)</f>
        <v>13</v>
      </c>
      <c r="J114" s="16" t="s">
        <v>365</v>
      </c>
      <c r="K114">
        <v>2</v>
      </c>
      <c r="L114">
        <v>8</v>
      </c>
    </row>
    <row r="115" spans="1:12" x14ac:dyDescent="0.3">
      <c r="A115">
        <v>104088</v>
      </c>
      <c r="B115" t="s">
        <v>122</v>
      </c>
      <c r="C115" t="s">
        <v>281</v>
      </c>
      <c r="D115">
        <v>8220</v>
      </c>
      <c r="E115" t="s">
        <v>328</v>
      </c>
      <c r="F115" t="s">
        <v>334</v>
      </c>
      <c r="G115" t="s">
        <v>340</v>
      </c>
      <c r="H115">
        <v>17</v>
      </c>
      <c r="I115">
        <f>AVERAGE(H115)</f>
        <v>17</v>
      </c>
      <c r="J115" s="16" t="s">
        <v>365</v>
      </c>
      <c r="K115">
        <v>2</v>
      </c>
      <c r="L115">
        <v>7</v>
      </c>
    </row>
    <row r="116" spans="1:12" x14ac:dyDescent="0.3">
      <c r="A116">
        <v>102633</v>
      </c>
      <c r="B116" t="s">
        <v>123</v>
      </c>
      <c r="C116" t="s">
        <v>282</v>
      </c>
      <c r="D116">
        <v>8220</v>
      </c>
      <c r="E116" t="s">
        <v>327</v>
      </c>
      <c r="F116" t="s">
        <v>339</v>
      </c>
      <c r="G116" t="s">
        <v>340</v>
      </c>
      <c r="H116">
        <v>8</v>
      </c>
      <c r="I116">
        <f>AVERAGE(H116)</f>
        <v>8</v>
      </c>
      <c r="J116" s="17" t="s">
        <v>366</v>
      </c>
      <c r="K116">
        <v>3</v>
      </c>
      <c r="L116">
        <v>10</v>
      </c>
    </row>
    <row r="117" spans="1:12" x14ac:dyDescent="0.3">
      <c r="A117">
        <v>108159</v>
      </c>
      <c r="B117" t="s">
        <v>124</v>
      </c>
      <c r="C117" t="s">
        <v>283</v>
      </c>
      <c r="D117">
        <v>8220</v>
      </c>
      <c r="E117" t="s">
        <v>328</v>
      </c>
      <c r="F117" t="s">
        <v>334</v>
      </c>
      <c r="G117" t="s">
        <v>340</v>
      </c>
      <c r="H117">
        <v>18</v>
      </c>
      <c r="I117">
        <f>AVERAGE(H117)</f>
        <v>18</v>
      </c>
      <c r="J117" s="16" t="s">
        <v>365</v>
      </c>
      <c r="K117">
        <v>1</v>
      </c>
      <c r="L117">
        <v>15</v>
      </c>
    </row>
    <row r="118" spans="1:12" s="2" customFormat="1" x14ac:dyDescent="0.3">
      <c r="A118" s="2">
        <v>108461</v>
      </c>
      <c r="B118" s="2" t="s">
        <v>125</v>
      </c>
      <c r="C118" s="2" t="s">
        <v>284</v>
      </c>
      <c r="D118" s="2">
        <v>8220</v>
      </c>
      <c r="E118" s="2" t="s">
        <v>327</v>
      </c>
      <c r="F118" s="2" t="s">
        <v>339</v>
      </c>
      <c r="G118" s="2" t="s">
        <v>340</v>
      </c>
      <c r="H118" s="2">
        <v>10</v>
      </c>
      <c r="I118" s="2">
        <f>AVERAGE(H118)</f>
        <v>10</v>
      </c>
      <c r="J118" s="16" t="s">
        <v>365</v>
      </c>
      <c r="K118" s="2">
        <v>6</v>
      </c>
      <c r="L118" s="2">
        <v>18</v>
      </c>
    </row>
    <row r="119" spans="1:12" x14ac:dyDescent="0.3">
      <c r="A119">
        <v>107635</v>
      </c>
      <c r="B119" t="s">
        <v>126</v>
      </c>
      <c r="C119" t="s">
        <v>285</v>
      </c>
      <c r="D119">
        <v>8220</v>
      </c>
      <c r="E119" t="s">
        <v>327</v>
      </c>
      <c r="F119" t="s">
        <v>339</v>
      </c>
      <c r="G119" t="s">
        <v>340</v>
      </c>
      <c r="H119">
        <v>18</v>
      </c>
      <c r="I119">
        <f>AVERAGE(H119)</f>
        <v>18</v>
      </c>
      <c r="J119" s="16" t="s">
        <v>365</v>
      </c>
      <c r="K119">
        <v>2</v>
      </c>
      <c r="L119">
        <v>15</v>
      </c>
    </row>
    <row r="120" spans="1:12" x14ac:dyDescent="0.3">
      <c r="A120">
        <v>102716</v>
      </c>
      <c r="B120" t="s">
        <v>127</v>
      </c>
      <c r="C120" t="s">
        <v>286</v>
      </c>
      <c r="D120">
        <v>8220</v>
      </c>
      <c r="E120" t="s">
        <v>328</v>
      </c>
      <c r="F120" t="s">
        <v>334</v>
      </c>
      <c r="G120" t="s">
        <v>340</v>
      </c>
      <c r="H120">
        <v>15</v>
      </c>
      <c r="I120">
        <f>AVERAGE(H120)</f>
        <v>15</v>
      </c>
      <c r="J120" s="16" t="s">
        <v>365</v>
      </c>
      <c r="K120">
        <v>4</v>
      </c>
      <c r="L120">
        <v>11</v>
      </c>
    </row>
    <row r="121" spans="1:12" x14ac:dyDescent="0.3">
      <c r="A121">
        <v>107347</v>
      </c>
      <c r="B121" t="s">
        <v>128</v>
      </c>
      <c r="C121" t="s">
        <v>287</v>
      </c>
      <c r="D121">
        <v>8220</v>
      </c>
      <c r="E121" t="s">
        <v>327</v>
      </c>
      <c r="F121" t="s">
        <v>339</v>
      </c>
      <c r="G121" t="s">
        <v>340</v>
      </c>
      <c r="H121">
        <v>10</v>
      </c>
      <c r="I121">
        <f>AVERAGE(H121)</f>
        <v>10</v>
      </c>
      <c r="J121" s="16" t="s">
        <v>365</v>
      </c>
      <c r="K121">
        <v>2</v>
      </c>
      <c r="L121">
        <v>11</v>
      </c>
    </row>
    <row r="122" spans="1:12" x14ac:dyDescent="0.3">
      <c r="A122">
        <v>110409</v>
      </c>
      <c r="B122" t="s">
        <v>129</v>
      </c>
      <c r="C122" t="s">
        <v>288</v>
      </c>
      <c r="D122">
        <v>8220</v>
      </c>
      <c r="E122" t="s">
        <v>327</v>
      </c>
      <c r="F122" t="s">
        <v>330</v>
      </c>
      <c r="G122" t="s">
        <v>340</v>
      </c>
      <c r="H122">
        <v>17</v>
      </c>
      <c r="I122">
        <f>AVERAGE(H122)</f>
        <v>17</v>
      </c>
      <c r="J122" s="16" t="s">
        <v>365</v>
      </c>
      <c r="K122">
        <v>3</v>
      </c>
      <c r="L122">
        <v>7</v>
      </c>
    </row>
    <row r="123" spans="1:12" s="2" customFormat="1" x14ac:dyDescent="0.3">
      <c r="A123" s="2">
        <v>108540</v>
      </c>
      <c r="B123" s="2" t="s">
        <v>130</v>
      </c>
      <c r="C123" s="2" t="s">
        <v>289</v>
      </c>
      <c r="D123" s="2">
        <v>8220</v>
      </c>
      <c r="E123" s="2" t="s">
        <v>327</v>
      </c>
      <c r="F123" s="2" t="s">
        <v>330</v>
      </c>
      <c r="G123" s="2" t="s">
        <v>340</v>
      </c>
      <c r="H123" s="2">
        <v>10</v>
      </c>
      <c r="I123" s="2">
        <f>AVERAGE(H123)</f>
        <v>10</v>
      </c>
      <c r="J123" s="16" t="s">
        <v>365</v>
      </c>
      <c r="K123" s="2">
        <v>4</v>
      </c>
      <c r="L123" s="2">
        <v>16</v>
      </c>
    </row>
    <row r="124" spans="1:12" x14ac:dyDescent="0.3">
      <c r="A124">
        <v>103112</v>
      </c>
      <c r="B124" t="s">
        <v>131</v>
      </c>
      <c r="C124" t="s">
        <v>290</v>
      </c>
      <c r="D124">
        <v>8220</v>
      </c>
      <c r="E124" t="s">
        <v>327</v>
      </c>
      <c r="F124" t="s">
        <v>332</v>
      </c>
      <c r="G124" t="s">
        <v>340</v>
      </c>
      <c r="H124">
        <v>11</v>
      </c>
      <c r="I124">
        <f>AVERAGE(H124)</f>
        <v>11</v>
      </c>
      <c r="J124" s="16" t="s">
        <v>365</v>
      </c>
      <c r="K124">
        <v>1</v>
      </c>
      <c r="L124">
        <v>10</v>
      </c>
    </row>
    <row r="125" spans="1:12" x14ac:dyDescent="0.3">
      <c r="A125">
        <v>111224</v>
      </c>
      <c r="B125" t="s">
        <v>132</v>
      </c>
      <c r="C125" t="s">
        <v>291</v>
      </c>
      <c r="D125">
        <v>1000</v>
      </c>
      <c r="E125" t="s">
        <v>327</v>
      </c>
      <c r="F125" t="s">
        <v>330</v>
      </c>
      <c r="G125" t="s">
        <v>340</v>
      </c>
      <c r="H125">
        <v>11</v>
      </c>
      <c r="I125">
        <f>AVERAGE(H125)</f>
        <v>11</v>
      </c>
      <c r="J125" s="16" t="s">
        <v>365</v>
      </c>
      <c r="K125">
        <v>6</v>
      </c>
      <c r="L125">
        <v>14</v>
      </c>
    </row>
    <row r="126" spans="1:12" s="2" customFormat="1" x14ac:dyDescent="0.3">
      <c r="A126" s="2">
        <v>102150</v>
      </c>
      <c r="B126" s="2" t="s">
        <v>133</v>
      </c>
      <c r="C126" s="2" t="s">
        <v>292</v>
      </c>
      <c r="D126" s="2">
        <v>8220</v>
      </c>
      <c r="E126" s="2" t="s">
        <v>328</v>
      </c>
      <c r="F126" s="2" t="s">
        <v>331</v>
      </c>
      <c r="G126" s="2" t="s">
        <v>340</v>
      </c>
      <c r="H126" s="2">
        <v>10</v>
      </c>
      <c r="I126" s="2">
        <f>AVERAGE(H126)</f>
        <v>10</v>
      </c>
      <c r="J126" s="16" t="s">
        <v>365</v>
      </c>
      <c r="K126" s="2">
        <v>7</v>
      </c>
      <c r="L126" s="2">
        <v>19</v>
      </c>
    </row>
    <row r="127" spans="1:12" x14ac:dyDescent="0.3">
      <c r="A127">
        <v>107185</v>
      </c>
      <c r="B127" t="s">
        <v>134</v>
      </c>
      <c r="C127" t="s">
        <v>293</v>
      </c>
      <c r="D127">
        <v>8220</v>
      </c>
      <c r="E127" t="s">
        <v>327</v>
      </c>
      <c r="F127" t="s">
        <v>331</v>
      </c>
      <c r="G127" t="s">
        <v>340</v>
      </c>
      <c r="H127">
        <v>11</v>
      </c>
      <c r="I127">
        <f>AVERAGE(H127)</f>
        <v>11</v>
      </c>
      <c r="J127" s="16" t="s">
        <v>365</v>
      </c>
      <c r="K127">
        <v>1</v>
      </c>
      <c r="L127">
        <v>10</v>
      </c>
    </row>
    <row r="128" spans="1:12" x14ac:dyDescent="0.3">
      <c r="A128">
        <v>104229</v>
      </c>
      <c r="B128" t="s">
        <v>135</v>
      </c>
      <c r="C128" t="s">
        <v>294</v>
      </c>
      <c r="D128">
        <v>8220</v>
      </c>
      <c r="E128" t="s">
        <v>327</v>
      </c>
      <c r="F128" t="s">
        <v>331</v>
      </c>
      <c r="G128" t="s">
        <v>340</v>
      </c>
      <c r="H128">
        <v>12</v>
      </c>
      <c r="I128">
        <f>AVERAGE(H128)</f>
        <v>12</v>
      </c>
      <c r="J128" s="16" t="s">
        <v>365</v>
      </c>
      <c r="K128">
        <v>1</v>
      </c>
      <c r="L128">
        <v>9</v>
      </c>
    </row>
    <row r="129" spans="1:12" x14ac:dyDescent="0.3">
      <c r="A129">
        <v>103235</v>
      </c>
      <c r="B129" t="s">
        <v>136</v>
      </c>
      <c r="C129" t="s">
        <v>295</v>
      </c>
      <c r="D129">
        <v>8220</v>
      </c>
      <c r="E129" t="s">
        <v>327</v>
      </c>
      <c r="F129" t="s">
        <v>330</v>
      </c>
      <c r="G129" t="s">
        <v>340</v>
      </c>
      <c r="H129">
        <v>9</v>
      </c>
      <c r="I129">
        <f>AVERAGE(H129)</f>
        <v>9</v>
      </c>
      <c r="J129" s="17" t="s">
        <v>366</v>
      </c>
      <c r="K129">
        <v>2</v>
      </c>
      <c r="L129">
        <v>8</v>
      </c>
    </row>
    <row r="130" spans="1:12" x14ac:dyDescent="0.3">
      <c r="A130">
        <v>110719</v>
      </c>
      <c r="B130" t="s">
        <v>137</v>
      </c>
      <c r="C130" t="s">
        <v>296</v>
      </c>
      <c r="D130">
        <v>8220</v>
      </c>
      <c r="E130" t="s">
        <v>328</v>
      </c>
      <c r="F130" t="s">
        <v>334</v>
      </c>
      <c r="G130" t="s">
        <v>340</v>
      </c>
      <c r="H130">
        <v>10</v>
      </c>
      <c r="I130">
        <f>AVERAGE(H130)</f>
        <v>10</v>
      </c>
      <c r="J130" s="16" t="s">
        <v>365</v>
      </c>
      <c r="K130">
        <v>2</v>
      </c>
      <c r="L130">
        <v>8</v>
      </c>
    </row>
    <row r="131" spans="1:12" x14ac:dyDescent="0.3">
      <c r="A131">
        <v>102669</v>
      </c>
      <c r="B131" t="s">
        <v>138</v>
      </c>
      <c r="C131" t="s">
        <v>297</v>
      </c>
      <c r="D131">
        <v>8220</v>
      </c>
      <c r="E131" t="s">
        <v>327</v>
      </c>
      <c r="F131" t="s">
        <v>337</v>
      </c>
      <c r="G131" t="s">
        <v>340</v>
      </c>
      <c r="H131">
        <v>17</v>
      </c>
      <c r="I131">
        <f>AVERAGE(H131)</f>
        <v>17</v>
      </c>
      <c r="J131" s="16" t="s">
        <v>365</v>
      </c>
      <c r="K131">
        <v>2</v>
      </c>
      <c r="L131">
        <v>9</v>
      </c>
    </row>
    <row r="132" spans="1:12" x14ac:dyDescent="0.3">
      <c r="A132">
        <v>108113</v>
      </c>
      <c r="B132" t="s">
        <v>139</v>
      </c>
      <c r="C132" t="s">
        <v>298</v>
      </c>
      <c r="D132">
        <v>8220</v>
      </c>
      <c r="E132" t="s">
        <v>328</v>
      </c>
      <c r="F132" t="s">
        <v>330</v>
      </c>
      <c r="G132" t="s">
        <v>340</v>
      </c>
      <c r="H132">
        <v>18</v>
      </c>
      <c r="I132">
        <f>AVERAGE(H132)</f>
        <v>18</v>
      </c>
      <c r="J132" s="16" t="s">
        <v>365</v>
      </c>
      <c r="K132">
        <v>1</v>
      </c>
      <c r="L132">
        <v>8</v>
      </c>
    </row>
    <row r="133" spans="1:12" x14ac:dyDescent="0.3">
      <c r="A133">
        <v>108204</v>
      </c>
      <c r="B133" t="s">
        <v>140</v>
      </c>
      <c r="C133" t="s">
        <v>299</v>
      </c>
      <c r="D133">
        <v>8220</v>
      </c>
      <c r="E133" t="s">
        <v>327</v>
      </c>
      <c r="F133" t="s">
        <v>330</v>
      </c>
      <c r="G133" t="s">
        <v>340</v>
      </c>
      <c r="H133">
        <v>9</v>
      </c>
      <c r="I133">
        <f>AVERAGE(H133)</f>
        <v>9</v>
      </c>
      <c r="J133" s="17" t="s">
        <v>366</v>
      </c>
      <c r="K133">
        <v>2</v>
      </c>
      <c r="L133">
        <v>11</v>
      </c>
    </row>
    <row r="134" spans="1:12" x14ac:dyDescent="0.3">
      <c r="A134">
        <v>107356</v>
      </c>
      <c r="B134" t="s">
        <v>141</v>
      </c>
      <c r="C134" t="s">
        <v>300</v>
      </c>
      <c r="D134">
        <v>8220</v>
      </c>
      <c r="E134" t="s">
        <v>327</v>
      </c>
      <c r="F134" t="s">
        <v>338</v>
      </c>
      <c r="G134" t="s">
        <v>340</v>
      </c>
      <c r="H134">
        <v>12</v>
      </c>
      <c r="I134">
        <f>AVERAGE(H134)</f>
        <v>12</v>
      </c>
      <c r="J134" s="16" t="s">
        <v>365</v>
      </c>
      <c r="K134">
        <v>2</v>
      </c>
      <c r="L134">
        <v>9</v>
      </c>
    </row>
    <row r="135" spans="1:12" x14ac:dyDescent="0.3">
      <c r="A135">
        <v>102011</v>
      </c>
      <c r="B135" t="s">
        <v>142</v>
      </c>
      <c r="C135" t="s">
        <v>301</v>
      </c>
      <c r="D135">
        <v>8220</v>
      </c>
      <c r="E135" t="s">
        <v>327</v>
      </c>
      <c r="F135" t="s">
        <v>332</v>
      </c>
      <c r="G135" t="s">
        <v>340</v>
      </c>
      <c r="H135">
        <v>18</v>
      </c>
      <c r="I135">
        <f>AVERAGE(H135)</f>
        <v>18</v>
      </c>
      <c r="J135" s="16" t="s">
        <v>365</v>
      </c>
      <c r="K135">
        <v>3</v>
      </c>
      <c r="L135">
        <v>12</v>
      </c>
    </row>
    <row r="136" spans="1:12" x14ac:dyDescent="0.3">
      <c r="A136">
        <v>104183</v>
      </c>
      <c r="B136" t="s">
        <v>143</v>
      </c>
      <c r="C136" t="s">
        <v>302</v>
      </c>
      <c r="D136">
        <v>8220</v>
      </c>
      <c r="E136" t="s">
        <v>327</v>
      </c>
      <c r="F136" t="s">
        <v>337</v>
      </c>
      <c r="G136" t="s">
        <v>340</v>
      </c>
      <c r="H136">
        <v>14</v>
      </c>
      <c r="I136">
        <f>AVERAGE(H136)</f>
        <v>14</v>
      </c>
      <c r="J136" s="16" t="s">
        <v>365</v>
      </c>
      <c r="K136">
        <v>1</v>
      </c>
      <c r="L136">
        <v>12</v>
      </c>
    </row>
    <row r="137" spans="1:12" x14ac:dyDescent="0.3">
      <c r="A137">
        <v>108629</v>
      </c>
      <c r="B137" t="s">
        <v>144</v>
      </c>
      <c r="C137" t="s">
        <v>303</v>
      </c>
      <c r="D137">
        <v>8220</v>
      </c>
      <c r="E137" t="s">
        <v>327</v>
      </c>
      <c r="F137" t="s">
        <v>338</v>
      </c>
      <c r="G137" t="s">
        <v>340</v>
      </c>
      <c r="H137">
        <v>16</v>
      </c>
      <c r="I137">
        <f>AVERAGE(H137)</f>
        <v>16</v>
      </c>
      <c r="J137" s="16" t="s">
        <v>365</v>
      </c>
      <c r="K137">
        <v>4</v>
      </c>
      <c r="L137">
        <v>19</v>
      </c>
    </row>
    <row r="138" spans="1:12" s="2" customFormat="1" x14ac:dyDescent="0.3">
      <c r="A138" s="2">
        <v>102743</v>
      </c>
      <c r="B138" s="2" t="s">
        <v>145</v>
      </c>
      <c r="C138" s="2" t="s">
        <v>304</v>
      </c>
      <c r="D138" s="2">
        <v>8220</v>
      </c>
      <c r="E138" s="2" t="s">
        <v>328</v>
      </c>
      <c r="F138" s="2" t="s">
        <v>336</v>
      </c>
      <c r="G138" s="2" t="s">
        <v>340</v>
      </c>
      <c r="H138" s="2">
        <v>10</v>
      </c>
      <c r="I138" s="2">
        <f>AVERAGE(H138)</f>
        <v>10</v>
      </c>
      <c r="J138" s="16" t="s">
        <v>365</v>
      </c>
      <c r="K138" s="2">
        <v>1</v>
      </c>
      <c r="L138" s="2">
        <v>19</v>
      </c>
    </row>
    <row r="139" spans="1:12" x14ac:dyDescent="0.3">
      <c r="A139">
        <v>108654</v>
      </c>
      <c r="B139" t="s">
        <v>146</v>
      </c>
      <c r="C139" t="s">
        <v>305</v>
      </c>
      <c r="D139">
        <v>8220</v>
      </c>
      <c r="E139" t="s">
        <v>327</v>
      </c>
      <c r="F139" t="s">
        <v>338</v>
      </c>
      <c r="G139" t="s">
        <v>4</v>
      </c>
      <c r="H139">
        <v>11</v>
      </c>
      <c r="I139">
        <f>AVERAGE(H139)</f>
        <v>11</v>
      </c>
      <c r="J139" s="16" t="s">
        <v>365</v>
      </c>
      <c r="K139">
        <v>1</v>
      </c>
      <c r="L139">
        <v>12</v>
      </c>
    </row>
    <row r="140" spans="1:12" x14ac:dyDescent="0.3">
      <c r="A140">
        <v>108869</v>
      </c>
      <c r="B140" t="s">
        <v>147</v>
      </c>
      <c r="C140" t="s">
        <v>306</v>
      </c>
      <c r="D140">
        <v>8220</v>
      </c>
      <c r="E140" t="s">
        <v>328</v>
      </c>
      <c r="F140" t="s">
        <v>331</v>
      </c>
      <c r="G140" t="s">
        <v>340</v>
      </c>
      <c r="H140">
        <v>8</v>
      </c>
      <c r="I140">
        <f>AVERAGE(H140)</f>
        <v>8</v>
      </c>
      <c r="J140" s="17" t="s">
        <v>366</v>
      </c>
      <c r="K140">
        <v>1</v>
      </c>
      <c r="L140">
        <v>9</v>
      </c>
    </row>
    <row r="141" spans="1:12" s="2" customFormat="1" x14ac:dyDescent="0.3">
      <c r="A141" s="2">
        <v>103761</v>
      </c>
      <c r="B141" s="2" t="s">
        <v>148</v>
      </c>
      <c r="C141" s="2" t="s">
        <v>307</v>
      </c>
      <c r="D141" s="2">
        <v>8220</v>
      </c>
      <c r="E141" s="2" t="s">
        <v>327</v>
      </c>
      <c r="F141" s="2" t="s">
        <v>337</v>
      </c>
      <c r="G141" s="2" t="s">
        <v>340</v>
      </c>
      <c r="H141" s="2">
        <v>8</v>
      </c>
      <c r="I141" s="2">
        <f>AVERAGE(H141)</f>
        <v>8</v>
      </c>
      <c r="J141" s="17" t="s">
        <v>366</v>
      </c>
      <c r="K141" s="2">
        <v>8</v>
      </c>
      <c r="L141" s="2">
        <v>18</v>
      </c>
    </row>
    <row r="142" spans="1:12" x14ac:dyDescent="0.3">
      <c r="A142">
        <v>107208</v>
      </c>
      <c r="B142" t="s">
        <v>149</v>
      </c>
      <c r="C142" t="s">
        <v>308</v>
      </c>
      <c r="D142">
        <v>8220</v>
      </c>
      <c r="E142" t="s">
        <v>327</v>
      </c>
      <c r="F142" t="s">
        <v>330</v>
      </c>
      <c r="G142" t="s">
        <v>340</v>
      </c>
      <c r="H142">
        <v>14</v>
      </c>
      <c r="I142">
        <f>AVERAGE(H142)</f>
        <v>14</v>
      </c>
      <c r="J142" s="16" t="s">
        <v>365</v>
      </c>
      <c r="K142">
        <v>1</v>
      </c>
      <c r="L142">
        <v>12</v>
      </c>
    </row>
    <row r="143" spans="1:12" s="2" customFormat="1" x14ac:dyDescent="0.3">
      <c r="A143" s="2">
        <v>103314</v>
      </c>
      <c r="B143" s="2" t="s">
        <v>150</v>
      </c>
      <c r="C143" s="2" t="s">
        <v>309</v>
      </c>
      <c r="D143" s="2">
        <v>8220</v>
      </c>
      <c r="E143" s="2" t="s">
        <v>327</v>
      </c>
      <c r="F143" s="2" t="s">
        <v>339</v>
      </c>
      <c r="G143" s="2" t="s">
        <v>340</v>
      </c>
      <c r="H143" s="2">
        <v>8</v>
      </c>
      <c r="I143" s="2">
        <f>AVERAGE(H143)</f>
        <v>8</v>
      </c>
      <c r="J143" s="17" t="s">
        <v>366</v>
      </c>
      <c r="K143" s="2">
        <v>3</v>
      </c>
      <c r="L143" s="2">
        <v>14</v>
      </c>
    </row>
    <row r="144" spans="1:12" x14ac:dyDescent="0.3">
      <c r="A144">
        <v>109150</v>
      </c>
      <c r="B144" t="s">
        <v>151</v>
      </c>
      <c r="C144" t="s">
        <v>310</v>
      </c>
      <c r="D144">
        <v>8220</v>
      </c>
      <c r="E144" t="s">
        <v>327</v>
      </c>
      <c r="F144" t="s">
        <v>330</v>
      </c>
      <c r="G144" t="s">
        <v>340</v>
      </c>
      <c r="H144">
        <v>14</v>
      </c>
      <c r="I144">
        <f>AVERAGE(H144)</f>
        <v>14</v>
      </c>
      <c r="J144" s="16" t="s">
        <v>365</v>
      </c>
      <c r="K144">
        <v>2</v>
      </c>
      <c r="L144">
        <v>14</v>
      </c>
    </row>
    <row r="145" spans="1:12" s="2" customFormat="1" x14ac:dyDescent="0.3">
      <c r="A145" s="2">
        <v>105431</v>
      </c>
      <c r="B145" s="2" t="s">
        <v>152</v>
      </c>
      <c r="C145" s="2" t="s">
        <v>311</v>
      </c>
      <c r="D145" s="2">
        <v>8220</v>
      </c>
      <c r="E145" s="2" t="s">
        <v>328</v>
      </c>
      <c r="F145" s="2" t="s">
        <v>334</v>
      </c>
      <c r="G145" s="2" t="s">
        <v>340</v>
      </c>
      <c r="H145" s="2">
        <v>11</v>
      </c>
      <c r="I145" s="2">
        <f>AVERAGE(H145)</f>
        <v>11</v>
      </c>
      <c r="J145" s="16" t="s">
        <v>365</v>
      </c>
      <c r="K145" s="2">
        <v>6</v>
      </c>
      <c r="L145" s="2">
        <v>18</v>
      </c>
    </row>
    <row r="146" spans="1:12" x14ac:dyDescent="0.3">
      <c r="A146">
        <v>103768</v>
      </c>
      <c r="B146" t="s">
        <v>153</v>
      </c>
      <c r="C146" t="s">
        <v>312</v>
      </c>
      <c r="D146">
        <v>8258</v>
      </c>
      <c r="E146" t="s">
        <v>327</v>
      </c>
      <c r="F146" t="s">
        <v>330</v>
      </c>
      <c r="G146" t="s">
        <v>340</v>
      </c>
      <c r="H146">
        <v>18</v>
      </c>
      <c r="I146">
        <f>AVERAGE(H146)</f>
        <v>18</v>
      </c>
      <c r="J146" s="16" t="s">
        <v>365</v>
      </c>
      <c r="K146">
        <v>2</v>
      </c>
      <c r="L146">
        <v>13</v>
      </c>
    </row>
    <row r="147" spans="1:12" x14ac:dyDescent="0.3">
      <c r="A147">
        <v>98007</v>
      </c>
      <c r="B147" t="s">
        <v>154</v>
      </c>
      <c r="C147" t="s">
        <v>313</v>
      </c>
      <c r="D147">
        <v>8220</v>
      </c>
      <c r="E147" t="s">
        <v>327</v>
      </c>
      <c r="F147" t="s">
        <v>330</v>
      </c>
      <c r="G147" t="s">
        <v>340</v>
      </c>
      <c r="H147">
        <v>11</v>
      </c>
      <c r="I147">
        <f>AVERAGE(H147)</f>
        <v>11</v>
      </c>
      <c r="J147" s="16" t="s">
        <v>365</v>
      </c>
      <c r="K147">
        <v>1</v>
      </c>
      <c r="L147">
        <v>8</v>
      </c>
    </row>
    <row r="148" spans="1:12" x14ac:dyDescent="0.3">
      <c r="A148">
        <v>107594</v>
      </c>
      <c r="B148" t="s">
        <v>155</v>
      </c>
      <c r="C148" t="s">
        <v>314</v>
      </c>
      <c r="D148">
        <v>8220</v>
      </c>
      <c r="E148" t="s">
        <v>327</v>
      </c>
      <c r="F148" t="s">
        <v>332</v>
      </c>
      <c r="G148" t="s">
        <v>340</v>
      </c>
      <c r="H148">
        <v>16</v>
      </c>
      <c r="I148">
        <f>AVERAGE(H148)</f>
        <v>16</v>
      </c>
      <c r="J148" s="16" t="s">
        <v>365</v>
      </c>
      <c r="K148">
        <v>4</v>
      </c>
      <c r="L148">
        <v>13</v>
      </c>
    </row>
    <row r="149" spans="1:12" x14ac:dyDescent="0.3">
      <c r="A149">
        <v>107319</v>
      </c>
      <c r="B149" t="s">
        <v>156</v>
      </c>
      <c r="C149" t="s">
        <v>315</v>
      </c>
      <c r="D149">
        <v>8220</v>
      </c>
      <c r="E149" t="s">
        <v>327</v>
      </c>
      <c r="F149" t="s">
        <v>337</v>
      </c>
      <c r="G149" t="s">
        <v>340</v>
      </c>
      <c r="H149">
        <v>16</v>
      </c>
      <c r="I149">
        <f>AVERAGE(H149)</f>
        <v>16</v>
      </c>
      <c r="J149" s="16" t="s">
        <v>365</v>
      </c>
      <c r="K149">
        <v>1</v>
      </c>
      <c r="L149">
        <v>14</v>
      </c>
    </row>
    <row r="150" spans="1:12" x14ac:dyDescent="0.3">
      <c r="A150">
        <v>99397</v>
      </c>
      <c r="B150" t="s">
        <v>157</v>
      </c>
      <c r="C150" t="s">
        <v>316</v>
      </c>
      <c r="D150">
        <v>8220</v>
      </c>
      <c r="E150" t="s">
        <v>327</v>
      </c>
      <c r="F150" t="s">
        <v>337</v>
      </c>
      <c r="G150" t="s">
        <v>340</v>
      </c>
      <c r="H150">
        <v>16</v>
      </c>
      <c r="I150">
        <f>AVERAGE(H150)</f>
        <v>16</v>
      </c>
      <c r="J150" s="16" t="s">
        <v>365</v>
      </c>
      <c r="K150">
        <v>2</v>
      </c>
      <c r="L150">
        <v>9</v>
      </c>
    </row>
    <row r="151" spans="1:12" s="2" customFormat="1" x14ac:dyDescent="0.3">
      <c r="A151" s="2">
        <v>105127</v>
      </c>
      <c r="B151" s="2" t="s">
        <v>158</v>
      </c>
      <c r="C151" s="2" t="s">
        <v>317</v>
      </c>
      <c r="D151" s="2">
        <v>8258</v>
      </c>
      <c r="E151" s="2" t="s">
        <v>328</v>
      </c>
      <c r="F151" s="2" t="s">
        <v>330</v>
      </c>
      <c r="G151" s="2" t="s">
        <v>340</v>
      </c>
      <c r="H151" s="2">
        <v>10</v>
      </c>
      <c r="I151" s="2">
        <f>AVERAGE(H151)</f>
        <v>10</v>
      </c>
      <c r="J151" s="16" t="s">
        <v>365</v>
      </c>
      <c r="K151" s="2">
        <v>6</v>
      </c>
      <c r="L151" s="2">
        <v>19</v>
      </c>
    </row>
    <row r="152" spans="1:12" s="2" customFormat="1" x14ac:dyDescent="0.3">
      <c r="A152" s="2">
        <v>105083</v>
      </c>
      <c r="B152" s="2" t="s">
        <v>159</v>
      </c>
      <c r="C152" s="2" t="s">
        <v>318</v>
      </c>
      <c r="D152" s="2">
        <v>8220</v>
      </c>
      <c r="E152" s="2" t="s">
        <v>328</v>
      </c>
      <c r="F152" s="2" t="s">
        <v>330</v>
      </c>
      <c r="G152" s="2" t="s">
        <v>340</v>
      </c>
      <c r="H152" s="2">
        <v>11</v>
      </c>
      <c r="I152" s="2">
        <f>AVERAGE(H152)</f>
        <v>11</v>
      </c>
      <c r="J152" s="16" t="s">
        <v>365</v>
      </c>
      <c r="K152" s="2">
        <v>7</v>
      </c>
      <c r="L152" s="2">
        <v>18</v>
      </c>
    </row>
    <row r="153" spans="1:12" x14ac:dyDescent="0.3">
      <c r="A153">
        <v>109162</v>
      </c>
      <c r="B153" t="s">
        <v>160</v>
      </c>
      <c r="C153" t="s">
        <v>319</v>
      </c>
      <c r="D153">
        <v>8220</v>
      </c>
      <c r="E153" t="s">
        <v>327</v>
      </c>
      <c r="F153" t="s">
        <v>330</v>
      </c>
      <c r="G153" t="s">
        <v>340</v>
      </c>
      <c r="H153">
        <v>10</v>
      </c>
      <c r="I153">
        <f>AVERAGE(H153)</f>
        <v>10</v>
      </c>
      <c r="J153" s="16" t="s">
        <v>365</v>
      </c>
      <c r="K153">
        <v>2</v>
      </c>
      <c r="L153">
        <v>10</v>
      </c>
    </row>
    <row r="154" spans="1:12" x14ac:dyDescent="0.3">
      <c r="A154">
        <v>108225</v>
      </c>
      <c r="B154" t="s">
        <v>161</v>
      </c>
      <c r="C154" t="s">
        <v>320</v>
      </c>
      <c r="D154">
        <v>8220</v>
      </c>
      <c r="E154" t="s">
        <v>327</v>
      </c>
      <c r="F154" t="s">
        <v>337</v>
      </c>
      <c r="G154" t="s">
        <v>340</v>
      </c>
      <c r="H154">
        <v>8</v>
      </c>
      <c r="I154">
        <f>AVERAGE(H154)</f>
        <v>8</v>
      </c>
      <c r="J154" s="17" t="s">
        <v>366</v>
      </c>
      <c r="K154">
        <v>3</v>
      </c>
      <c r="L154">
        <v>8</v>
      </c>
    </row>
    <row r="155" spans="1:12" x14ac:dyDescent="0.3">
      <c r="A155">
        <v>105880</v>
      </c>
      <c r="B155" t="s">
        <v>162</v>
      </c>
      <c r="C155" t="s">
        <v>321</v>
      </c>
      <c r="D155">
        <v>1000</v>
      </c>
      <c r="E155" t="s">
        <v>327</v>
      </c>
      <c r="F155" t="s">
        <v>332</v>
      </c>
      <c r="G155" t="s">
        <v>340</v>
      </c>
      <c r="H155">
        <v>16</v>
      </c>
      <c r="I155">
        <f>AVERAGE(H155)</f>
        <v>16</v>
      </c>
      <c r="J155" s="16" t="s">
        <v>365</v>
      </c>
      <c r="K155">
        <v>1</v>
      </c>
      <c r="L155">
        <v>16</v>
      </c>
    </row>
    <row r="156" spans="1:12" x14ac:dyDescent="0.3">
      <c r="A156">
        <v>108078</v>
      </c>
      <c r="B156" t="s">
        <v>163</v>
      </c>
      <c r="C156" t="s">
        <v>322</v>
      </c>
      <c r="D156">
        <v>8220</v>
      </c>
      <c r="E156" t="s">
        <v>328</v>
      </c>
      <c r="F156" t="s">
        <v>339</v>
      </c>
      <c r="G156" t="s">
        <v>340</v>
      </c>
      <c r="H156">
        <v>16</v>
      </c>
      <c r="I156">
        <f>AVERAGE(H156)</f>
        <v>16</v>
      </c>
      <c r="J156" s="16" t="s">
        <v>365</v>
      </c>
      <c r="K156">
        <v>2</v>
      </c>
      <c r="L156">
        <v>12</v>
      </c>
    </row>
    <row r="157" spans="1:12" s="2" customFormat="1" x14ac:dyDescent="0.3">
      <c r="A157" s="2">
        <v>108146</v>
      </c>
      <c r="B157" s="2" t="s">
        <v>164</v>
      </c>
      <c r="C157" s="2" t="s">
        <v>323</v>
      </c>
      <c r="D157" s="2">
        <v>8220</v>
      </c>
      <c r="E157" s="2" t="s">
        <v>327</v>
      </c>
      <c r="F157" s="2" t="s">
        <v>330</v>
      </c>
      <c r="G157" s="2" t="s">
        <v>340</v>
      </c>
      <c r="H157" s="2">
        <v>11</v>
      </c>
      <c r="I157" s="2">
        <f>AVERAGE(H157)</f>
        <v>11</v>
      </c>
      <c r="J157" s="16" t="s">
        <v>365</v>
      </c>
      <c r="K157" s="2">
        <v>3</v>
      </c>
      <c r="L157" s="2">
        <v>16</v>
      </c>
    </row>
    <row r="158" spans="1:12" x14ac:dyDescent="0.3">
      <c r="A158">
        <v>102437</v>
      </c>
      <c r="B158" t="s">
        <v>165</v>
      </c>
      <c r="C158" t="s">
        <v>324</v>
      </c>
      <c r="D158">
        <v>8220</v>
      </c>
      <c r="E158" t="s">
        <v>327</v>
      </c>
      <c r="F158" t="s">
        <v>330</v>
      </c>
      <c r="G158" t="s">
        <v>340</v>
      </c>
      <c r="H158">
        <v>16</v>
      </c>
      <c r="I158">
        <f>AVERAGE(H158)</f>
        <v>16</v>
      </c>
      <c r="J158" s="16" t="s">
        <v>365</v>
      </c>
      <c r="K158">
        <v>2</v>
      </c>
      <c r="L158">
        <v>16</v>
      </c>
    </row>
    <row r="159" spans="1:12" x14ac:dyDescent="0.3">
      <c r="A159">
        <v>97876</v>
      </c>
      <c r="B159" t="s">
        <v>166</v>
      </c>
      <c r="C159" t="s">
        <v>325</v>
      </c>
      <c r="D159">
        <v>8220</v>
      </c>
      <c r="E159" t="s">
        <v>327</v>
      </c>
      <c r="F159" t="s">
        <v>333</v>
      </c>
      <c r="G159" t="s">
        <v>340</v>
      </c>
      <c r="H159">
        <v>18</v>
      </c>
      <c r="I159">
        <f>AVERAGE(H159)</f>
        <v>18</v>
      </c>
      <c r="J159" s="16" t="s">
        <v>365</v>
      </c>
      <c r="K159">
        <v>1</v>
      </c>
      <c r="L159">
        <v>9</v>
      </c>
    </row>
    <row r="160" spans="1:12" x14ac:dyDescent="0.3">
      <c r="A160">
        <v>103910</v>
      </c>
      <c r="B160" t="s">
        <v>167</v>
      </c>
      <c r="C160" t="s">
        <v>326</v>
      </c>
      <c r="D160">
        <v>8220</v>
      </c>
      <c r="E160" t="s">
        <v>327</v>
      </c>
      <c r="F160" t="s">
        <v>336</v>
      </c>
      <c r="G160" t="s">
        <v>340</v>
      </c>
      <c r="H160">
        <v>10</v>
      </c>
      <c r="I160">
        <f>AVERAGE(H160)</f>
        <v>10</v>
      </c>
      <c r="J160" s="16" t="s">
        <v>365</v>
      </c>
      <c r="K160">
        <v>3</v>
      </c>
      <c r="L160">
        <v>7</v>
      </c>
    </row>
    <row r="163" spans="2:3" x14ac:dyDescent="0.3">
      <c r="B163" s="13" t="s">
        <v>341</v>
      </c>
      <c r="C163" s="12">
        <v>0</v>
      </c>
    </row>
    <row r="164" spans="2:3" x14ac:dyDescent="0.3">
      <c r="B164" s="12" t="s">
        <v>342</v>
      </c>
      <c r="C164" s="12">
        <v>159</v>
      </c>
    </row>
    <row r="165" spans="2:3" x14ac:dyDescent="0.3">
      <c r="B165" s="12" t="s">
        <v>343</v>
      </c>
      <c r="C165" s="12">
        <v>58</v>
      </c>
    </row>
    <row r="166" spans="2:3" x14ac:dyDescent="0.3">
      <c r="B166" s="12" t="s">
        <v>344</v>
      </c>
      <c r="C166" s="12">
        <v>101</v>
      </c>
    </row>
    <row r="167" spans="2:3" x14ac:dyDescent="0.3">
      <c r="B167" s="12" t="s">
        <v>345</v>
      </c>
      <c r="C167" s="12" t="s">
        <v>346</v>
      </c>
    </row>
    <row r="168" spans="2:3" x14ac:dyDescent="0.3">
      <c r="B168" s="12" t="s">
        <v>347</v>
      </c>
      <c r="C168" s="12" t="s">
        <v>348</v>
      </c>
    </row>
    <row r="169" spans="2:3" x14ac:dyDescent="0.3">
      <c r="B169" s="12" t="s">
        <v>349</v>
      </c>
      <c r="C169" s="12" t="s">
        <v>350</v>
      </c>
    </row>
    <row r="170" spans="2:3" x14ac:dyDescent="0.3">
      <c r="B170" s="12" t="s">
        <v>351</v>
      </c>
      <c r="C170" s="12" t="s">
        <v>352</v>
      </c>
    </row>
    <row r="171" spans="2:3" x14ac:dyDescent="0.3">
      <c r="B171" s="12" t="s">
        <v>353</v>
      </c>
      <c r="C171" s="12" t="s">
        <v>354</v>
      </c>
    </row>
    <row r="172" spans="2:3" x14ac:dyDescent="0.3">
      <c r="B172" s="12" t="s">
        <v>355</v>
      </c>
      <c r="C172" s="12" t="s">
        <v>356</v>
      </c>
    </row>
    <row r="173" spans="2:3" x14ac:dyDescent="0.3">
      <c r="B173" s="12" t="s">
        <v>357</v>
      </c>
      <c r="C173" s="12">
        <v>0</v>
      </c>
    </row>
    <row r="174" spans="2:3" x14ac:dyDescent="0.3">
      <c r="B174" s="12" t="s">
        <v>358</v>
      </c>
      <c r="C174" s="12">
        <v>0</v>
      </c>
    </row>
  </sheetData>
  <autoFilter ref="A1:L17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Pivot_638998843148176306</vt:lpstr>
      <vt:lpstr>Pivot_638998842998962721</vt:lpstr>
      <vt:lpstr>Pivot_638998853291763022</vt:lpstr>
      <vt:lpstr>Pivot_638999203820182194</vt:lpstr>
      <vt:lpstr>Pivot_638999241525119084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Tomás Brás</cp:lastModifiedBy>
  <dcterms:created xsi:type="dcterms:W3CDTF">2025-11-24T23:33:12Z</dcterms:created>
  <dcterms:modified xsi:type="dcterms:W3CDTF">2025-12-19T11:14:51Z</dcterms:modified>
</cp:coreProperties>
</file>